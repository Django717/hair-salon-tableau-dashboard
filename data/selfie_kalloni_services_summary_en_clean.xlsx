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3360" tabRatio="855" activeTab="5"/>
  </bookViews>
  <sheets>
    <sheet name="Clean Data" sheetId="1" r:id="rId1"/>
    <sheet name="Revenue by Category" sheetId="3" r:id="rId2"/>
    <sheet name="Revenue by Employee" sheetId="4" r:id="rId3"/>
    <sheet name="Top 5 Categories" sheetId="5" r:id="rId4"/>
    <sheet name="Inactive Segments" sheetId="8" r:id="rId5"/>
    <sheet name="Insights" sheetId="9" r:id="rId6"/>
    <sheet name="Translation Map" sheetId="2" r:id="rId7"/>
  </sheets>
  <calcPr calcId="144525"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<sst xmlns="http://schemas.openxmlformats.org/spreadsheetml/2006/main" count="686" uniqueCount="148">
  <si>
    <t>employee_name</t>
  </si>
  <si>
    <t>service_name</t>
  </si>
  <si>
    <t>category</t>
  </si>
  <si>
    <t>hours</t>
  </si>
  <si>
    <t>quantity</t>
  </si>
  <si>
    <t>gross_amount</t>
  </si>
  <si>
    <t>revenue_per_hour</t>
  </si>
  <si>
    <t>discount</t>
  </si>
  <si>
    <t>net_amount</t>
  </si>
  <si>
    <t>Vasilis</t>
  </si>
  <si>
    <t>Women Haircut</t>
  </si>
  <si>
    <t>Haircuts</t>
  </si>
  <si>
    <t>Men Haircut</t>
  </si>
  <si>
    <t>Kids Haircut</t>
  </si>
  <si>
    <t>Blow Dry</t>
  </si>
  <si>
    <t>Styling</t>
  </si>
  <si>
    <t>Long Hair Styling</t>
  </si>
  <si>
    <t>Steam Pod</t>
  </si>
  <si>
    <t/>
  </si>
  <si>
    <t>Root Color</t>
  </si>
  <si>
    <t>Color</t>
  </si>
  <si>
    <t>Full Color</t>
  </si>
  <si>
    <t>Balayage</t>
  </si>
  <si>
    <t>Technical Services</t>
  </si>
  <si>
    <t>Refle/Toner</t>
  </si>
  <si>
    <t>Olaplex Treatment</t>
  </si>
  <si>
    <t>Treatments</t>
  </si>
  <si>
    <t>Hypoallergenic Root Color</t>
  </si>
  <si>
    <t>Shampoo</t>
  </si>
  <si>
    <t>Kerastase S&amp;M</t>
  </si>
  <si>
    <t>Afro Styling</t>
  </si>
  <si>
    <t>Wash &amp; Dry</t>
  </si>
  <si>
    <t>Wash/Massage</t>
  </si>
  <si>
    <t>Hypoallergenic Full Color</t>
  </si>
  <si>
    <t>Glossing - Hair Gloss</t>
  </si>
  <si>
    <t>Babylights</t>
  </si>
  <si>
    <t>Olaplex in Color Service</t>
  </si>
  <si>
    <t>Beard Grooming</t>
  </si>
  <si>
    <t>Mask Treatment</t>
  </si>
  <si>
    <t>Braids</t>
  </si>
  <si>
    <t>Kerastase K-Water</t>
  </si>
  <si>
    <t>Kerastase Extentioniste</t>
  </si>
  <si>
    <t>Kerastase Genesis</t>
  </si>
  <si>
    <t>Bleaching</t>
  </si>
  <si>
    <t>Bang Trim</t>
  </si>
  <si>
    <t>Color Refresh</t>
  </si>
  <si>
    <t>Eyebrow Tint</t>
  </si>
  <si>
    <t>Transparency Highlights</t>
  </si>
  <si>
    <t>Kerastase Fusio Dose Nutrition</t>
  </si>
  <si>
    <t>Kerastase Fusio Dose Resistance</t>
  </si>
  <si>
    <t>Kerastase Fusio Dose Chroma Absolu</t>
  </si>
  <si>
    <t>Kerastase Fusio Dose De Forme</t>
  </si>
  <si>
    <t>Kerastase Fusio Dose Ultra-Violet</t>
  </si>
  <si>
    <t>Kerastase Fusio Dose Genesis</t>
  </si>
  <si>
    <t>Macrolights</t>
  </si>
  <si>
    <t>Evangelia</t>
  </si>
  <si>
    <t>Evening Hairstyling</t>
  </si>
  <si>
    <t>Keratin Alfaparf New</t>
  </si>
  <si>
    <t>Bridal Hairstyling</t>
  </si>
  <si>
    <t>Keratin Nanocure</t>
  </si>
  <si>
    <t>Keratin Nanocure Extreme</t>
  </si>
  <si>
    <t>Anna-Maria</t>
  </si>
  <si>
    <t>Kerastase Scrub Apaisant Relaxing</t>
  </si>
  <si>
    <t>Extensions Removal</t>
  </si>
  <si>
    <t>Extensions</t>
  </si>
  <si>
    <t>Botox Nanocure</t>
  </si>
  <si>
    <t>Kerastase Fusio Dose Densifique</t>
  </si>
  <si>
    <t>Eirini</t>
  </si>
  <si>
    <t>Highlights</t>
  </si>
  <si>
    <t>Sum of net_amount</t>
  </si>
  <si>
    <t>Sum of net_amount2</t>
  </si>
  <si>
    <t>Grand Total</t>
  </si>
  <si>
    <t>/</t>
  </si>
  <si>
    <t>Revenue by Category (€)</t>
  </si>
  <si>
    <t>Revenue ( e )</t>
  </si>
  <si>
    <t xml:space="preserve">segment </t>
  </si>
  <si>
    <t>Inactive Customers Distribution</t>
  </si>
  <si>
    <t>24+ months</t>
  </si>
  <si>
    <t>12-24 months</t>
  </si>
  <si>
    <t>6-12 months</t>
  </si>
  <si>
    <t>3-6 months</t>
  </si>
  <si>
    <t>Analysis Period: 01/01/2025 – 31/12/2025</t>
  </si>
  <si>
    <t>Customer Inactivity Analysis</t>
  </si>
  <si>
    <t>60% των πελατών έχουν να επισκεφτούν το κομμωτήριο πάνω από 2 χρόνια.</t>
  </si>
  <si>
    <t>Μόνο ένα μικρό ποσοστό πελατών παραμένει ενεργό ή σχετικά ενεργό.</t>
  </si>
  <si>
    <t>Υπάρχει μεγάλη ευκαιρία αύξησης revenue μέσω επανενεργοποίησης πελατών.</t>
  </si>
  <si>
    <t>Το κομμωτήριο δεν έχει πρόβλημα απόκτησης πελατών. Έχει πρόβλημα διατήρησης πελατών.</t>
  </si>
  <si>
    <t>Με στοχευμένες ενέργειες επανενεργοποίησης, ένα μέρος αυτών των πελατών μπορεί να επιστρέψει και να αυξήσει άμεσα τα έσοδα.</t>
  </si>
  <si>
    <t>original_service_name</t>
  </si>
  <si>
    <t>english_service_name</t>
  </si>
  <si>
    <t>original_category</t>
  </si>
  <si>
    <t>english_category</t>
  </si>
  <si>
    <t>AFRO</t>
  </si>
  <si>
    <t>ΚΟΥΡΕΜΑΤΑ</t>
  </si>
  <si>
    <t>BABYLIGHTS</t>
  </si>
  <si>
    <t>ΧΤΕΝΙΣΜΑΤΑ</t>
  </si>
  <si>
    <t>BALAYAGE</t>
  </si>
  <si>
    <t>ΒΑΦΕΣ</t>
  </si>
  <si>
    <t>BOTOX NANOCURE</t>
  </si>
  <si>
    <t>ΤΕΧΝΙΚΕΣ ΕΡΓΑΣΙΕΣ</t>
  </si>
  <si>
    <t>GLOSSING - HAIR GLOSS</t>
  </si>
  <si>
    <t>ΡΕΦΛΕ-TONER</t>
  </si>
  <si>
    <t>HIGHLIGHTS</t>
  </si>
  <si>
    <t>ΘΕΡΑΠΕΙΕΣ</t>
  </si>
  <si>
    <t>KERASTASE EXTENTIONISTE</t>
  </si>
  <si>
    <t>ΛΟΥΣΙΜΟ-ΜΑΣΑΖ</t>
  </si>
  <si>
    <t>KERASTASE FUSIO DOSE CHROMA ABSOLU</t>
  </si>
  <si>
    <t>EXTENSION</t>
  </si>
  <si>
    <t>KERASTASE FUSIO DOSE DE FORME</t>
  </si>
  <si>
    <t>KERASTASE FUSIO DOSE DENSIFIQUE</t>
  </si>
  <si>
    <t>KERASTASE FUSIO DOSE GENESIS</t>
  </si>
  <si>
    <t>KERASTASE FUSIO DOSE NUTRITION</t>
  </si>
  <si>
    <t>KERASTASE FUSIO DOSE RESISTANCE</t>
  </si>
  <si>
    <t>KERASTASE FUSIO DOSE ULTRA-VIOLET</t>
  </si>
  <si>
    <t>KERASTASE GENESIS</t>
  </si>
  <si>
    <t>KERASTASE K-WATER</t>
  </si>
  <si>
    <t>KERASTASE S&amp;M</t>
  </si>
  <si>
    <t>KERASTASE SCRUB APAISANT ΧΑΛΑΡΩΤΙΚΟ</t>
  </si>
  <si>
    <t>KERATIN ALFAPARF NEW</t>
  </si>
  <si>
    <t>KERATIN NANOCURE</t>
  </si>
  <si>
    <t>KERATIN NANOCURE EXTREME</t>
  </si>
  <si>
    <t>MACROLIGHTS</t>
  </si>
  <si>
    <t>OLAPLEX ΣΕ ΒΑΦΗ</t>
  </si>
  <si>
    <t>STEAM POD</t>
  </si>
  <si>
    <t>ΑΠΟΧΡΩΜΑΤΙΣΜΟΣ</t>
  </si>
  <si>
    <t>ΑΦΑΙΡΕΣΗ EXTENSIONS</t>
  </si>
  <si>
    <t>ΒΑΦΗ ΕΠΙ ΜΗΚΟΣ</t>
  </si>
  <si>
    <t>ΒΑΦΗ ΕΠΙ ΜΗΚΟΣ ΥΠΟΑΛΛΕΡΓΙΚΗ</t>
  </si>
  <si>
    <t>ΒΑΦΗ ΠΕΡΑΣΜΑ</t>
  </si>
  <si>
    <t>ΒΑΦΗ ΡΙΖΑ</t>
  </si>
  <si>
    <t>ΒΑΦΗ ΡΙΖΑ ΥΠΟΑΛΛΕΡΓΙΚΗ</t>
  </si>
  <si>
    <t>ΒΑΦΗ ΦΡΥΔΙΑ</t>
  </si>
  <si>
    <t>ΔΙΑΦΑΝΕΙΕΣ</t>
  </si>
  <si>
    <t>ΘΕΡΑΠΕΙΑ OLAPLEX</t>
  </si>
  <si>
    <t>ΚΟΤΣΙΔΑ - ΠΛΕΞΟΥΔΕΣ</t>
  </si>
  <si>
    <t>ΚΟΥΡΕΜΑ ΑΝΔΡΙΚΟ</t>
  </si>
  <si>
    <t>ΚΟΥΡΕΜΑ ΓΥΝΑΙΚΕΙΟ</t>
  </si>
  <si>
    <t>ΚΟΥΡΕΜΑ ΠΑΙΔΙΚΟ</t>
  </si>
  <si>
    <t>ΚΟΥΡΕΜΑ ΦΡΑΤΖΑ</t>
  </si>
  <si>
    <t>ΛΟΥΣΙΜΟ - ΣΤΕΓΝΩΜΑ</t>
  </si>
  <si>
    <t>ΜΑΣΚΑ</t>
  </si>
  <si>
    <t>ΠΕΡΙΠΟΙΗΣΗ ΓΕΝΕΙΑΔΑΣ</t>
  </si>
  <si>
    <t>ΣΑΜΠΟΥΑΝ</t>
  </si>
  <si>
    <t>ΦΟΡΜΑΡΙΣΜΑ</t>
  </si>
  <si>
    <t>ΧΤΕΝΙΣΜΑ</t>
  </si>
  <si>
    <t>ΧΤΕΝΙΣΜΑ ΒΡΑΔΙΝΟ</t>
  </si>
  <si>
    <t>ΧΤΕΝΙΣΜΑ ΜΑΚΡΥ</t>
  </si>
  <si>
    <t>ΧΤΕΝΙΣΜΑ ΝΥΦΙΚΟ</t>
  </si>
</sst>
</file>

<file path=xl/styles.xml><?xml version="1.0" encoding="utf-8"?>
<styleSheet xmlns="http://schemas.openxmlformats.org/spreadsheetml/2006/main">
  <numFmts count="5">
    <numFmt numFmtId="176" formatCode="#,##0\ [$€-408];\-#,##0\ [$€-408]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3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6" fillId="13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0" fillId="15" borderId="11" applyNumberFormat="0" applyFont="0" applyAlignment="0" applyProtection="0">
      <alignment vertical="center"/>
    </xf>
    <xf numFmtId="0" fontId="15" fillId="12" borderId="9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5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176" fontId="0" fillId="0" borderId="0" xfId="0" applyNumberFormat="1" applyAlignment="1">
      <alignment horizontal="center"/>
    </xf>
    <xf numFmtId="0" fontId="0" fillId="3" borderId="2" xfId="0" applyFill="1" applyBorder="1" applyAlignment="1">
      <alignment horizontal="center"/>
    </xf>
    <xf numFmtId="176" fontId="0" fillId="3" borderId="3" xfId="0" applyNumberFormat="1" applyFill="1" applyBorder="1" applyAlignment="1">
      <alignment horizontal="center"/>
    </xf>
    <xf numFmtId="0" fontId="2" fillId="0" borderId="0" xfId="0" applyFont="1" applyAlignment="1"/>
    <xf numFmtId="176" fontId="0" fillId="3" borderId="4" xfId="0" applyNumberFormat="1" applyFill="1" applyBorder="1" applyAlignment="1">
      <alignment horizontal="center"/>
    </xf>
    <xf numFmtId="0" fontId="0" fillId="4" borderId="0" xfId="0" applyFill="1"/>
    <xf numFmtId="10" fontId="0" fillId="0" borderId="0" xfId="0" applyNumberFormat="1"/>
    <xf numFmtId="0" fontId="0" fillId="3" borderId="0" xfId="0" applyFill="1"/>
    <xf numFmtId="176" fontId="0" fillId="3" borderId="0" xfId="0" applyNumberFormat="1" applyFill="1"/>
    <xf numFmtId="10" fontId="0" fillId="3" borderId="0" xfId="0" applyNumberFormat="1" applyFill="1"/>
    <xf numFmtId="0" fontId="3" fillId="5" borderId="1" xfId="0" applyFont="1" applyFill="1" applyBorder="1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72">
    <dxf>
      <numFmt numFmtId="177" formatCode="&quot;£&quot;#,##0.00_);[Red]\(&quot;£&quot;#,##0.00\)"/>
    </dxf>
    <dxf>
      <numFmt numFmtId="178" formatCode="#,##0.00\ [$€-408]_);[Red]\(#,##0.00\ [$€-408]\)"/>
    </dxf>
    <dxf>
      <numFmt numFmtId="179" formatCode="#,##0\ [$€-408]_);[Red]\(#,##0\ [$€-408]\)"/>
    </dxf>
    <dxf>
      <numFmt numFmtId="176" formatCode="#,##0\ [$€-408];\-#,##0\ [$€-408]"/>
    </dxf>
    <dxf>
      <numFmt numFmtId="176" formatCode="#,##0\ [$€-408];\-#,##0\ [$€-408]"/>
    </dxf>
    <dxf>
      <numFmt numFmtId="10" formatCode="0.00%"/>
    </dxf>
    <dxf>
      <fill>
        <patternFill patternType="solid">
          <bgColor theme="0" tint="-0.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numFmt numFmtId="180" formatCode="&quot;£&quot;#,##0.00_);[Red]\(&quot;£&quot;#,##0.00\)"/>
    </dxf>
    <dxf>
      <numFmt numFmtId="181" formatCode="#,##0.00\ [$€-408]_);[Red]\(#,##0.00\ [$€-408]\)"/>
    </dxf>
    <dxf>
      <numFmt numFmtId="182" formatCode="#,##0\ [$€-408]_);[Red]\(#,##0\ [$€-408]\)"/>
    </dxf>
    <dxf>
      <numFmt numFmtId="176" formatCode="#,##0\ [$€-408];\-#,##0\ [$€-408]"/>
    </dxf>
    <dxf>
      <numFmt numFmtId="176" formatCode="#,##0\ [$€-408];\-#,##0\ [$€-408]"/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alignment horizontal="center"/>
    </dxf>
    <dxf/>
    <dxf/>
    <dxf>
      <alignment horizontal="center"/>
    </dxf>
    <dxf>
      <alignment vertical="center"/>
    </dxf>
    <dxf>
      <numFmt numFmtId="176" formatCode="#,##0\ [$€-408];\-#,##0\ [$€-408]"/>
    </dxf>
    <dxf>
      <numFmt numFmtId="176" formatCode="#,##0\ [$€-408];\-#,##0\ [$€-408]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0.05"/>
        </patternFill>
      </fill>
    </dxf>
    <dxf>
      <fill>
        <patternFill patternType="solid">
          <bgColor theme="0" tint="-0.0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/>
    <dxf/>
    <dxf>
      <border>
        <left/>
        <right/>
        <top/>
        <bottom/>
      </border>
    </dxf>
    <dxf>
      <border>
        <left/>
        <right/>
        <top/>
        <bottom/>
      </border>
    </dxf>
    <dxf/>
    <dxf/>
    <dxf>
      <border>
        <left/>
        <right/>
        <top/>
        <bottom/>
      </border>
    </dxf>
    <dxf>
      <border>
        <left/>
        <right/>
        <top/>
        <bottom/>
      </border>
    </dxf>
    <dxf/>
    <dxf/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[selfie_kalloni_services_summary_en_clean.xlsx]Revenue by Category!PivotTable2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Revenue by Category (€)
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Category'!$H$3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Category'!$F$4:$G$12</c:f>
              <c:strCache>
                <c:ptCount val="8"/>
                <c:pt idx="0">
                  <c:v>Haircuts</c:v>
                </c:pt>
                <c:pt idx="1">
                  <c:v>Color</c:v>
                </c:pt>
                <c:pt idx="2">
                  <c:v>Styling</c:v>
                </c:pt>
                <c:pt idx="3">
                  <c:v>Technical Services</c:v>
                </c:pt>
                <c:pt idx="4">
                  <c:v>Treatments</c:v>
                </c:pt>
                <c:pt idx="5">
                  <c:v>Refle/Toner</c:v>
                </c:pt>
                <c:pt idx="6">
                  <c:v>Extensions</c:v>
                </c:pt>
                <c:pt idx="7">
                  <c:v>Wash/Massage</c:v>
                </c:pt>
              </c:strCache>
            </c:strRef>
          </c:cat>
          <c:val>
            <c:numRef>
              <c:f>'Revenue by Category'!$H$4:$H$12</c:f>
              <c:numCache>
                <c:formatCode>#,##0\ [$€-408];\-#,##0\ [$€-408]</c:formatCode>
                <c:ptCount val="8"/>
                <c:pt idx="0">
                  <c:v>46858</c:v>
                </c:pt>
                <c:pt idx="1">
                  <c:v>14092</c:v>
                </c:pt>
                <c:pt idx="2">
                  <c:v>10532</c:v>
                </c:pt>
                <c:pt idx="3">
                  <c:v>10035</c:v>
                </c:pt>
                <c:pt idx="4">
                  <c:v>8778</c:v>
                </c:pt>
                <c:pt idx="5">
                  <c:v>5301</c:v>
                </c:pt>
                <c:pt idx="6">
                  <c:v>35</c:v>
                </c:pt>
                <c:pt idx="7">
                  <c:v>21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209689479"/>
        <c:axId val="446966135"/>
      </c:barChart>
      <c:catAx>
        <c:axId val="209689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6966135"/>
        <c:crosses val="autoZero"/>
        <c:auto val="1"/>
        <c:lblAlgn val="ctr"/>
        <c:lblOffset val="100"/>
        <c:noMultiLvlLbl val="0"/>
      </c:catAx>
      <c:valAx>
        <c:axId val="446966135"/>
        <c:scaling>
          <c:orientation val="minMax"/>
        </c:scaling>
        <c:delete val="0"/>
        <c:axPos val="l"/>
        <c:numFmt formatCode="#,##0\ [$€-408];\-#,##0\ [$€-408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9689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[selfie_kalloni_services_summary_en_clean.xlsx]Top 5 Categories!PivotTable4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Top 5 Categories by Revenue(%)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 Categories'!$C$3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Categories'!$A$4:$B$9</c:f>
              <c:strCache>
                <c:ptCount val="5"/>
                <c:pt idx="0">
                  <c:v>Haircuts</c:v>
                </c:pt>
                <c:pt idx="1">
                  <c:v>Color</c:v>
                </c:pt>
                <c:pt idx="2">
                  <c:v>Styling</c:v>
                </c:pt>
                <c:pt idx="3">
                  <c:v>Technical Services</c:v>
                </c:pt>
                <c:pt idx="4">
                  <c:v>Treatments</c:v>
                </c:pt>
              </c:strCache>
            </c:strRef>
          </c:cat>
          <c:val>
            <c:numRef>
              <c:f>'Top 5 Categories'!$C$4:$C$9</c:f>
              <c:numCache>
                <c:formatCode>#,##0\ [$€-408];\-#,##0\ [$€-408]</c:formatCode>
                <c:ptCount val="5"/>
                <c:pt idx="0">
                  <c:v>46858</c:v>
                </c:pt>
                <c:pt idx="1">
                  <c:v>14027</c:v>
                </c:pt>
                <c:pt idx="2">
                  <c:v>10522</c:v>
                </c:pt>
                <c:pt idx="3">
                  <c:v>10035</c:v>
                </c:pt>
                <c:pt idx="4">
                  <c:v>7087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'Inactive Segments'!$B$1</c:f>
              <c:strCache>
                <c:ptCount val="1"/>
                <c:pt idx="0">
                  <c:v>Inactive Customers Distribution</c:v>
                </c:pt>
              </c:strCache>
            </c:strRef>
          </c:tx>
          <c:spPr/>
          <c:explosion val="0"/>
          <c:dPt>
            <c:idx val="0"/>
            <c:bubble3D val="0"/>
            <c:explosion val="8"/>
            <c:spPr>
              <a:gradFill>
                <a:gsLst>
                  <a:gs pos="0">
                    <a:srgbClr val="E30000"/>
                  </a:gs>
                  <a:gs pos="81000">
                    <a:srgbClr val="76030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'Inactive Segments'!$A$2:$A$5</c:f>
              <c:strCache>
                <c:ptCount val="4"/>
                <c:pt idx="0">
                  <c:v>24+ months</c:v>
                </c:pt>
                <c:pt idx="1">
                  <c:v>12-24 months</c:v>
                </c:pt>
                <c:pt idx="2">
                  <c:v>6-12 months</c:v>
                </c:pt>
                <c:pt idx="3">
                  <c:v>3-6 months</c:v>
                </c:pt>
              </c:strCache>
            </c:strRef>
          </c:cat>
          <c:val>
            <c:numRef>
              <c:f>'Inactive Segments'!$B$2:$B$5</c:f>
              <c:numCache>
                <c:formatCode>General</c:formatCode>
                <c:ptCount val="4"/>
                <c:pt idx="0">
                  <c:v>1400</c:v>
                </c:pt>
                <c:pt idx="1">
                  <c:v>679</c:v>
                </c:pt>
                <c:pt idx="2">
                  <c:v>563</c:v>
                </c:pt>
                <c:pt idx="3">
                  <c:v>282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612775</xdr:colOff>
      <xdr:row>13</xdr:row>
      <xdr:rowOff>176530</xdr:rowOff>
    </xdr:from>
    <xdr:to>
      <xdr:col>7</xdr:col>
      <xdr:colOff>765810</xdr:colOff>
      <xdr:row>31</xdr:row>
      <xdr:rowOff>26035</xdr:rowOff>
    </xdr:to>
    <xdr:graphicFrame>
      <xdr:nvGraphicFramePr>
        <xdr:cNvPr id="3" name="Chart 2"/>
        <xdr:cNvGraphicFramePr/>
      </xdr:nvGraphicFramePr>
      <xdr:xfrm>
        <a:off x="612775" y="2487930"/>
        <a:ext cx="9391650" cy="3049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873760</xdr:colOff>
      <xdr:row>11</xdr:row>
      <xdr:rowOff>50800</xdr:rowOff>
    </xdr:from>
    <xdr:to>
      <xdr:col>7</xdr:col>
      <xdr:colOff>406400</xdr:colOff>
      <xdr:row>28</xdr:row>
      <xdr:rowOff>11430</xdr:rowOff>
    </xdr:to>
    <xdr:graphicFrame>
      <xdr:nvGraphicFramePr>
        <xdr:cNvPr id="2" name="Chart 1"/>
        <xdr:cNvGraphicFramePr/>
      </xdr:nvGraphicFramePr>
      <xdr:xfrm>
        <a:off x="2118360" y="2006600"/>
        <a:ext cx="5217160" cy="2983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906780</xdr:colOff>
      <xdr:row>10</xdr:row>
      <xdr:rowOff>127635</xdr:rowOff>
    </xdr:from>
    <xdr:to>
      <xdr:col>4</xdr:col>
      <xdr:colOff>632460</xdr:colOff>
      <xdr:row>26</xdr:row>
      <xdr:rowOff>26035</xdr:rowOff>
    </xdr:to>
    <xdr:graphicFrame>
      <xdr:nvGraphicFramePr>
        <xdr:cNvPr id="2" name="Chart 1"/>
        <xdr:cNvGraphicFramePr/>
      </xdr:nvGraphicFramePr>
      <xdr:xfrm>
        <a:off x="906780" y="1905635"/>
        <a:ext cx="45415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3.5569212963" refreshedBy="django" recordCount="137">
  <cacheSource type="worksheet">
    <worksheetSource name="Table1"/>
  </cacheSource>
  <cacheFields count="9">
    <cacheField name="employee_name" numFmtId="0">
      <sharedItems count="4">
        <s v="Vasilis"/>
        <s v="Evangelia"/>
        <s v="Anna-Maria"/>
        <s v="Eirini"/>
      </sharedItems>
    </cacheField>
    <cacheField name="service_name" numFmtId="0">
      <sharedItems count="49">
        <s v="Women Haircut"/>
        <s v="Men Haircut"/>
        <s v="Kids Haircut"/>
        <s v="Blow Dry"/>
        <s v="Styling"/>
        <s v="Long Hair Styling"/>
        <s v="Steam Pod"/>
        <s v="Root Color"/>
        <s v="Full Color"/>
        <s v="Balayage"/>
        <s v="Refle/Toner"/>
        <s v="Olaplex Treatment"/>
        <s v="Hypoallergenic Root Color"/>
        <s v="Shampoo"/>
        <s v="Kerastase S&amp;M"/>
        <s v="Afro Styling"/>
        <s v="Wash &amp; Dry"/>
        <s v="Hypoallergenic Full Color"/>
        <s v="Glossing - Hair Gloss"/>
        <s v="Babylights"/>
        <s v="Olaplex in Color Service"/>
        <s v="Beard Grooming"/>
        <s v="Mask Treatment"/>
        <s v="Braids"/>
        <s v="Kerastase K-Water"/>
        <s v="Kerastase Extentioniste"/>
        <s v="Kerastase Genesis"/>
        <s v="Bleaching"/>
        <s v="Bang Trim"/>
        <s v="Color Refresh"/>
        <s v="Eyebrow Tint"/>
        <s v="Transparency Highlights"/>
        <s v="Kerastase Fusio Dose Nutrition"/>
        <s v="Kerastase Fusio Dose Resistance"/>
        <s v="Kerastase Fusio Dose Chroma Absolu"/>
        <s v="Kerastase Fusio Dose De Forme"/>
        <s v="Kerastase Fusio Dose Ultra-Violet"/>
        <s v="Kerastase Fusio Dose Genesis"/>
        <s v="Macrolights"/>
        <s v="Evening Hairstyling"/>
        <s v="Keratin Alfaparf New"/>
        <s v="Bridal Hairstyling"/>
        <s v="Keratin Nanocure"/>
        <s v="Keratin Nanocure Extreme"/>
        <s v="Kerastase Scrub Apaisant Relaxing"/>
        <s v="Extensions Removal"/>
        <s v="Botox Nanocure"/>
        <s v="Kerastase Fusio Dose Densifique"/>
        <s v="Highlights"/>
      </sharedItems>
    </cacheField>
    <cacheField name="category" numFmtId="0">
      <sharedItems count="8">
        <s v="Haircuts"/>
        <s v="Styling"/>
        <s v="Color"/>
        <s v="Technical Services"/>
        <s v="Refle/Toner"/>
        <s v="Treatments"/>
        <s v="Wash/Massage"/>
        <s v="Extensions"/>
      </sharedItems>
    </cacheField>
    <cacheField name="hours" numFmtId="0">
      <sharedItems containsSemiMixedTypes="0" containsString="0" containsNumber="1" minValue="0" maxValue="573" count="64">
        <n v="232.5"/>
        <n v="377.5"/>
        <n v="32"/>
        <n v="74"/>
        <n v="18.75"/>
        <n v="12.75"/>
        <n v="0.75"/>
        <n v="11.5"/>
        <n v="17.5"/>
        <n v="5.25"/>
        <n v="27.5"/>
        <n v="2.5"/>
        <n v="16.5"/>
        <n v="14"/>
        <n v="21"/>
        <n v="0.25"/>
        <n v="3"/>
        <n v="0.5"/>
        <n v="20"/>
        <n v="2.75"/>
        <n v="52.25"/>
        <n v="29.5"/>
        <n v="4.5"/>
        <n v="1.5"/>
        <n v="3.75"/>
        <n v="3.25"/>
        <n v="1.75"/>
        <n v="1.25"/>
        <n v="182.5"/>
        <n v="573"/>
        <n v="41"/>
        <n v="97"/>
        <n v="18.25"/>
        <n v="18"/>
        <n v="4"/>
        <n v="24"/>
        <n v="41.5"/>
        <n v="68"/>
        <n v="5.75"/>
        <n v="6"/>
        <n v="10"/>
        <n v="6.25"/>
        <n v="66.75"/>
        <n v="7.25"/>
        <n v="16"/>
        <n v="2.25"/>
        <n v="5.5"/>
        <n v="5"/>
        <n v="98"/>
        <n v="3.5"/>
        <n v="75"/>
        <n v="11"/>
        <n v="28"/>
        <n v="2"/>
        <n v="8.25"/>
        <n v="9.5"/>
        <n v="1"/>
        <n v="87.5"/>
        <n v="199.5"/>
        <n v="7.5"/>
        <n v="6.5"/>
        <n v="12"/>
        <n v="26"/>
        <n v="52"/>
      </sharedItems>
    </cacheField>
    <cacheField name="quantity" numFmtId="0">
      <sharedItems containsSemiMixedTypes="0" containsString="0" containsNumber="1" containsInteger="1" minValue="0" maxValue="1146" count="56">
        <n v="465"/>
        <n v="755"/>
        <n v="128"/>
        <n v="148"/>
        <n v="75"/>
        <n v="17"/>
        <n v="1"/>
        <n v="23"/>
        <n v="35"/>
        <n v="3"/>
        <n v="55"/>
        <n v="5"/>
        <n v="66"/>
        <n v="56"/>
        <n v="14"/>
        <n v="4"/>
        <n v="10"/>
        <n v="11"/>
        <n v="209"/>
        <n v="118"/>
        <n v="9"/>
        <n v="2"/>
        <n v="15"/>
        <n v="6"/>
        <n v="13"/>
        <n v="7"/>
        <n v="365"/>
        <n v="1146"/>
        <n v="164"/>
        <n v="194"/>
        <n v="73"/>
        <n v="24"/>
        <n v="48"/>
        <n v="83"/>
        <n v="8"/>
        <n v="16"/>
        <n v="25"/>
        <n v="267"/>
        <n v="29"/>
        <n v="32"/>
        <n v="22"/>
        <n v="49"/>
        <n v="28"/>
        <n v="20"/>
        <n v="150"/>
        <n v="44"/>
        <n v="42"/>
        <n v="59"/>
        <n v="33"/>
        <n v="84"/>
        <n v="19"/>
        <n v="175"/>
        <n v="399"/>
        <n v="12"/>
        <n v="104"/>
        <n v="26"/>
      </sharedItems>
    </cacheField>
    <cacheField name="gross_amount" numFmtId="0">
      <sharedItems containsSemiMixedTypes="0" containsString="0" containsNumber="1" minValue="0" maxValue="12662" count="108">
        <n v="8149"/>
        <n v="8752.5"/>
        <n v="1305"/>
        <n v="1906"/>
        <n v="646"/>
        <n v="375"/>
        <n v="20"/>
        <n v="695"/>
        <n v="1695"/>
        <n v="0"/>
        <n v="1513"/>
        <n v="40"/>
        <n v="175"/>
        <n v="83"/>
        <n v="342"/>
        <n v="185"/>
        <n v="25"/>
        <n v="60"/>
        <n v="629"/>
        <n v="446"/>
        <n v="105"/>
        <n v="7"/>
        <n v="80"/>
        <n v="150"/>
        <n v="50"/>
        <n v="75"/>
        <n v="70"/>
        <n v="30"/>
        <n v="270"/>
        <n v="169"/>
        <n v="98"/>
        <n v="43"/>
        <n v="28"/>
        <n v="71"/>
        <n v="1020"/>
        <n v="6167"/>
        <n v="12662"/>
        <n v="1640"/>
        <n v="2840"/>
        <n v="705"/>
        <n v="548"/>
        <n v="95"/>
        <n v="1511"/>
        <n v="3690"/>
        <n v="2111"/>
        <n v="282"/>
        <n v="2370"/>
        <n v="158"/>
        <n v="350"/>
        <n v="300"/>
        <n v="398"/>
        <n v="759"/>
        <n v="111"/>
        <n v="455"/>
        <n v="15"/>
        <n v="298"/>
        <n v="45"/>
        <n v="235"/>
        <n v="310"/>
        <n v="141"/>
        <n v="42"/>
        <n v="72"/>
        <n v="4308"/>
        <n v="107"/>
        <n v="287"/>
        <n v="200"/>
        <n v="2293"/>
        <n v="431"/>
        <n v="621"/>
        <n v="120"/>
        <n v="1309"/>
        <n v="2826"/>
        <n v="1660"/>
        <n v="77"/>
        <n v="285"/>
        <n v="17"/>
        <n v="561"/>
        <n v="184"/>
        <n v="21"/>
        <n v="490"/>
        <n v="323"/>
        <n v="210"/>
        <n v="6"/>
        <n v="440"/>
        <n v="160"/>
        <n v="35"/>
        <n v="74"/>
        <n v="14"/>
        <n v="3042"/>
        <n v="4649"/>
        <n v="540"/>
        <n v="908"/>
        <n v="213"/>
        <n v="252"/>
        <n v="138"/>
        <n v="220"/>
        <n v="675"/>
        <n v="320"/>
        <n v="880"/>
        <n v="101"/>
        <n v="230"/>
        <n v="395"/>
        <n v="273"/>
        <n v="290"/>
        <n v="62"/>
        <n v="250"/>
        <n v="1130"/>
        <n v="2525"/>
      </sharedItems>
    </cacheField>
    <cacheField name="revenue_per_hour" numFmtId="0">
      <sharedItems containsNumber="1" containsMixedTypes="1" count="111">
        <n v="33.97"/>
        <n v="21.73"/>
        <n v="36.75"/>
        <n v="20.35"/>
        <n v="25.33"/>
        <n v="27.45"/>
        <s v=""/>
        <n v="57.57"/>
        <n v="93.2"/>
        <n v="52.73"/>
        <n v="53.33"/>
        <n v="70"/>
        <n v="3.21"/>
        <n v="23.36"/>
        <n v="59"/>
        <n v="40"/>
        <n v="2.5"/>
        <n v="65.45"/>
        <n v="5.13"/>
        <n v="6.58"/>
        <n v="22.89"/>
        <n v="14"/>
        <n v="50"/>
        <n v="42"/>
        <n v="66.67"/>
        <n v="12"/>
        <n v="93.33"/>
        <n v="3.33"/>
        <n v="60"/>
        <n v="52"/>
        <n v="56"/>
        <n v="57.33"/>
        <n v="56.8"/>
        <n v="49.25"/>
        <n v="32.66"/>
        <n v="21.81"/>
        <n v="39.05"/>
        <n v="21.93"/>
        <n v="32.6"/>
        <n v="28.5"/>
        <n v="22.5"/>
        <n v="13.33"/>
        <n v="60.67"/>
        <n v="82.89"/>
        <n v="47.86"/>
        <n v="61.75"/>
        <n v="5"/>
        <n v="33.31"/>
        <n v="24.17"/>
        <n v="57.5"/>
        <n v="30"/>
        <n v="61.28"/>
        <n v="5.42"/>
        <n v="8.83"/>
        <n v="26.88"/>
        <n v="66.22"/>
        <n v="80"/>
        <n v="5.45"/>
        <n v="52.22"/>
        <n v="56.4"/>
        <n v="57.6"/>
        <n v="41.85"/>
        <n v="48"/>
        <n v="29.71"/>
        <n v="19.5"/>
        <n v="38"/>
        <n v="25.48"/>
        <n v="28.18"/>
        <n v="26.52"/>
        <n v="25"/>
        <n v="61.86"/>
        <n v="91.46"/>
        <n v="57.32"/>
        <n v="51.33"/>
        <n v="62.5"/>
        <n v="7.5"/>
        <n v="35.06"/>
        <n v="21.58"/>
        <n v="28"/>
        <n v="58.18"/>
        <n v="7.33"/>
        <n v="7.67"/>
        <n v="17.05"/>
        <n v="24"/>
        <n v="83.81"/>
        <n v="2.67"/>
        <n v="23.33"/>
        <n v="45"/>
        <n v="59.2"/>
        <n v="34.18"/>
        <n v="22.93"/>
        <n v="37.71"/>
        <n v="23.97"/>
        <n v="26.61"/>
        <n v="30.27"/>
        <n v="34.5"/>
        <n v="62.86"/>
        <n v="101.08"/>
        <n v="43.33"/>
        <n v="9.33"/>
        <n v="33.96"/>
        <n v="27.71"/>
        <n v="46"/>
        <n v="31.25"/>
        <n v="78"/>
        <n v="4.81"/>
        <n v="22.67"/>
        <n v="82"/>
        <n v="18"/>
        <n v="61.14"/>
        <n v="47.21"/>
      </sharedItems>
    </cacheField>
    <cacheField name="discount" numFmtId="0">
      <sharedItems containsSemiMixedTypes="0" containsString="0" containsNumber="1" minValue="0" maxValue="713" count="52">
        <n v="250"/>
        <n v="550"/>
        <n v="129"/>
        <n v="400"/>
        <n v="171"/>
        <n v="25"/>
        <n v="20"/>
        <n v="33"/>
        <n v="64"/>
        <n v="0"/>
        <n v="63"/>
        <n v="30"/>
        <n v="15"/>
        <n v="8"/>
        <n v="5"/>
        <n v="10"/>
        <n v="361"/>
        <n v="252"/>
        <n v="2"/>
        <n v="45"/>
        <n v="35"/>
        <n v="207"/>
        <n v="162.5"/>
        <n v="39"/>
        <n v="713"/>
        <n v="110"/>
        <n v="55"/>
        <n v="125"/>
        <n v="105"/>
        <n v="19"/>
        <n v="397"/>
        <n v="47"/>
        <n v="75"/>
        <n v="3"/>
        <n v="14"/>
        <n v="382"/>
        <n v="121"/>
        <n v="128"/>
        <n v="6"/>
        <n v="4"/>
        <n v="162"/>
        <n v="48"/>
        <n v="65"/>
        <n v="51"/>
        <n v="74"/>
        <n v="12"/>
        <n v="201"/>
        <n v="60"/>
        <n v="18"/>
        <n v="165"/>
        <n v="13"/>
        <n v="70"/>
      </sharedItems>
    </cacheField>
    <cacheField name="net_amount" numFmtId="0">
      <sharedItems containsSemiMixedTypes="0" containsString="0" containsNumber="1" minValue="0" maxValue="12499.5" count="111">
        <n v="7899"/>
        <n v="8202.5"/>
        <n v="1176"/>
        <n v="1506"/>
        <n v="475"/>
        <n v="350"/>
        <n v="0"/>
        <n v="662"/>
        <n v="1631"/>
        <n v="1450"/>
        <n v="40"/>
        <n v="175"/>
        <n v="53"/>
        <n v="327"/>
        <n v="177"/>
        <n v="20"/>
        <n v="50"/>
        <n v="180"/>
        <n v="268"/>
        <n v="194"/>
        <n v="103"/>
        <n v="7"/>
        <n v="75"/>
        <n v="105"/>
        <n v="45"/>
        <n v="70"/>
        <n v="5"/>
        <n v="270"/>
        <n v="169"/>
        <n v="98"/>
        <n v="43"/>
        <n v="28"/>
        <n v="71"/>
        <n v="985"/>
        <n v="5960"/>
        <n v="12499.5"/>
        <n v="1601"/>
        <n v="2127"/>
        <n v="595"/>
        <n v="513"/>
        <n v="90"/>
        <n v="10"/>
        <n v="1456"/>
        <n v="3440"/>
        <n v="1986"/>
        <n v="247"/>
        <n v="2265"/>
        <n v="139"/>
        <n v="345"/>
        <n v="300"/>
        <n v="383"/>
        <n v="362"/>
        <n v="64"/>
        <n v="430"/>
        <n v="15"/>
        <n v="298"/>
        <n v="30"/>
        <n v="60"/>
        <n v="235"/>
        <n v="280"/>
        <n v="141"/>
        <n v="42"/>
        <n v="72"/>
        <n v="4101"/>
        <n v="120"/>
        <n v="104"/>
        <n v="273"/>
        <n v="190"/>
        <n v="1911"/>
        <n v="310"/>
        <n v="557"/>
        <n v="100"/>
        <n v="1299"/>
        <n v="2698"/>
        <n v="1605"/>
        <n v="77"/>
        <n v="250"/>
        <n v="561"/>
        <n v="178"/>
        <n v="21"/>
        <n v="480"/>
        <n v="11"/>
        <n v="161"/>
        <n v="162"/>
        <n v="6"/>
        <n v="440"/>
        <n v="160"/>
        <n v="35"/>
        <n v="74"/>
        <n v="14"/>
        <n v="2991"/>
        <n v="4575"/>
        <n v="528"/>
        <n v="707"/>
        <n v="153"/>
        <n v="227"/>
        <n v="138"/>
        <n v="220"/>
        <n v="657"/>
        <n v="260"/>
        <n v="815"/>
        <n v="97"/>
        <n v="230"/>
        <n v="375"/>
        <n v="125"/>
        <n v="49"/>
        <n v="68"/>
        <n v="246"/>
        <n v="18"/>
        <n v="1070"/>
        <n v="245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4.5383564815" refreshedBy="django" recordCount="138">
  <cacheSource type="worksheet">
    <worksheetSource ref="A1:I1048576" sheet="Clean Data"/>
  </cacheSource>
  <cacheFields count="9">
    <cacheField name="employee_name" numFmtId="0">
      <sharedItems containsBlank="1" count="5">
        <s v="Vasilis"/>
        <s v="Evangelia"/>
        <s v="Anna-Maria"/>
        <s v="Eirini"/>
        <m/>
      </sharedItems>
    </cacheField>
    <cacheField name="service_name" numFmtId="0">
      <sharedItems containsBlank="1" count="50">
        <s v="Women Haircut"/>
        <s v="Men Haircut"/>
        <s v="Kids Haircut"/>
        <s v="Blow Dry"/>
        <s v="Styling"/>
        <s v="Long Hair Styling"/>
        <s v="Steam Pod"/>
        <s v="Root Color"/>
        <s v="Full Color"/>
        <s v="Balayage"/>
        <s v="Refle/Toner"/>
        <s v="Olaplex Treatment"/>
        <s v="Hypoallergenic Root Color"/>
        <s v="Shampoo"/>
        <s v="Kerastase S&amp;M"/>
        <s v="Afro Styling"/>
        <s v="Wash &amp; Dry"/>
        <s v="Hypoallergenic Full Color"/>
        <s v="Glossing - Hair Gloss"/>
        <s v="Babylights"/>
        <s v="Olaplex in Color Service"/>
        <s v="Beard Grooming"/>
        <s v="Mask Treatment"/>
        <s v="Braids"/>
        <s v="Kerastase K-Water"/>
        <s v="Kerastase Extentioniste"/>
        <s v="Kerastase Genesis"/>
        <s v="Bleaching"/>
        <s v="Bang Trim"/>
        <s v="Color Refresh"/>
        <s v="Eyebrow Tint"/>
        <s v="Transparency Highlights"/>
        <s v="Kerastase Fusio Dose Nutrition"/>
        <s v="Kerastase Fusio Dose Resistance"/>
        <s v="Kerastase Fusio Dose Chroma Absolu"/>
        <s v="Kerastase Fusio Dose De Forme"/>
        <s v="Kerastase Fusio Dose Ultra-Violet"/>
        <s v="Kerastase Fusio Dose Genesis"/>
        <s v="Macrolights"/>
        <s v="Evening Hairstyling"/>
        <s v="Keratin Alfaparf New"/>
        <s v="Bridal Hairstyling"/>
        <s v="Keratin Nanocure"/>
        <s v="Keratin Nanocure Extreme"/>
        <s v="Kerastase Scrub Apaisant Relaxing"/>
        <s v="Extensions Removal"/>
        <s v="Botox Nanocure"/>
        <s v="Kerastase Fusio Dose Densifique"/>
        <s v="Highlights"/>
        <m/>
      </sharedItems>
    </cacheField>
    <cacheField name="category" numFmtId="0">
      <sharedItems containsBlank="1" count="9">
        <s v="Haircuts"/>
        <s v="Styling"/>
        <s v="Color"/>
        <s v="Technical Services"/>
        <s v="Refle/Toner"/>
        <s v="Treatments"/>
        <s v="Wash/Massage"/>
        <s v="Extensions"/>
        <m/>
      </sharedItems>
    </cacheField>
    <cacheField name="hours" numFmtId="0">
      <sharedItems containsString="0" containsBlank="1" containsNumber="1" minValue="0" maxValue="573" count="65">
        <n v="232.5"/>
        <n v="377.5"/>
        <n v="32"/>
        <n v="74"/>
        <n v="18.75"/>
        <n v="12.75"/>
        <n v="0.75"/>
        <n v="11.5"/>
        <n v="17.5"/>
        <n v="5.25"/>
        <n v="27.5"/>
        <n v="2.5"/>
        <n v="16.5"/>
        <n v="14"/>
        <n v="21"/>
        <n v="0.25"/>
        <n v="3"/>
        <n v="0.5"/>
        <n v="20"/>
        <n v="2.75"/>
        <n v="52.25"/>
        <n v="29.5"/>
        <n v="4.5"/>
        <n v="1.5"/>
        <n v="3.75"/>
        <n v="3.25"/>
        <n v="1.75"/>
        <n v="1.25"/>
        <n v="182.5"/>
        <n v="573"/>
        <n v="41"/>
        <n v="97"/>
        <n v="18.25"/>
        <n v="18"/>
        <n v="4"/>
        <n v="24"/>
        <n v="41.5"/>
        <n v="68"/>
        <n v="5.75"/>
        <n v="6"/>
        <n v="10"/>
        <n v="6.25"/>
        <n v="66.75"/>
        <n v="7.25"/>
        <n v="16"/>
        <n v="2.25"/>
        <n v="5.5"/>
        <n v="5"/>
        <n v="98"/>
        <n v="3.5"/>
        <n v="75"/>
        <n v="11"/>
        <n v="28"/>
        <n v="2"/>
        <n v="8.25"/>
        <n v="9.5"/>
        <n v="1"/>
        <n v="87.5"/>
        <n v="199.5"/>
        <n v="7.5"/>
        <n v="6.5"/>
        <n v="12"/>
        <n v="26"/>
        <n v="52"/>
        <m/>
      </sharedItems>
    </cacheField>
    <cacheField name="quantity" numFmtId="0">
      <sharedItems containsString="0" containsBlank="1" containsNumber="1" containsInteger="1" minValue="0" maxValue="1146" count="57">
        <n v="465"/>
        <n v="755"/>
        <n v="128"/>
        <n v="148"/>
        <n v="75"/>
        <n v="17"/>
        <n v="1"/>
        <n v="23"/>
        <n v="35"/>
        <n v="3"/>
        <n v="55"/>
        <n v="5"/>
        <n v="66"/>
        <n v="56"/>
        <n v="14"/>
        <n v="4"/>
        <n v="10"/>
        <n v="11"/>
        <n v="209"/>
        <n v="118"/>
        <n v="9"/>
        <n v="2"/>
        <n v="15"/>
        <n v="6"/>
        <n v="13"/>
        <n v="7"/>
        <n v="365"/>
        <n v="1146"/>
        <n v="164"/>
        <n v="194"/>
        <n v="73"/>
        <n v="24"/>
        <n v="48"/>
        <n v="83"/>
        <n v="8"/>
        <n v="16"/>
        <n v="25"/>
        <n v="267"/>
        <n v="29"/>
        <n v="32"/>
        <n v="22"/>
        <n v="49"/>
        <n v="28"/>
        <n v="20"/>
        <n v="150"/>
        <n v="44"/>
        <n v="42"/>
        <n v="59"/>
        <n v="33"/>
        <n v="84"/>
        <n v="19"/>
        <n v="175"/>
        <n v="399"/>
        <n v="12"/>
        <n v="104"/>
        <n v="26"/>
        <m/>
      </sharedItems>
    </cacheField>
    <cacheField name="gross_amount" numFmtId="0">
      <sharedItems containsString="0" containsBlank="1" containsNumber="1" minValue="0" maxValue="12662" count="109">
        <n v="8149"/>
        <n v="8752.5"/>
        <n v="1305"/>
        <n v="1906"/>
        <n v="646"/>
        <n v="375"/>
        <n v="20"/>
        <n v="695"/>
        <n v="1695"/>
        <n v="0"/>
        <n v="1513"/>
        <n v="40"/>
        <n v="175"/>
        <n v="83"/>
        <n v="342"/>
        <n v="185"/>
        <n v="25"/>
        <n v="60"/>
        <n v="629"/>
        <n v="446"/>
        <n v="105"/>
        <n v="7"/>
        <n v="80"/>
        <n v="150"/>
        <n v="50"/>
        <n v="75"/>
        <n v="70"/>
        <n v="30"/>
        <n v="270"/>
        <n v="169"/>
        <n v="98"/>
        <n v="43"/>
        <n v="28"/>
        <n v="71"/>
        <n v="1020"/>
        <n v="6167"/>
        <n v="12662"/>
        <n v="1640"/>
        <n v="2840"/>
        <n v="705"/>
        <n v="548"/>
        <n v="95"/>
        <n v="1511"/>
        <n v="3690"/>
        <n v="2111"/>
        <n v="282"/>
        <n v="2370"/>
        <n v="158"/>
        <n v="350"/>
        <n v="300"/>
        <n v="398"/>
        <n v="759"/>
        <n v="111"/>
        <n v="455"/>
        <n v="15"/>
        <n v="298"/>
        <n v="45"/>
        <n v="235"/>
        <n v="310"/>
        <n v="141"/>
        <n v="42"/>
        <n v="72"/>
        <n v="4308"/>
        <n v="107"/>
        <n v="287"/>
        <n v="200"/>
        <n v="2293"/>
        <n v="431"/>
        <n v="621"/>
        <n v="120"/>
        <n v="1309"/>
        <n v="2826"/>
        <n v="1660"/>
        <n v="77"/>
        <n v="285"/>
        <n v="17"/>
        <n v="561"/>
        <n v="184"/>
        <n v="21"/>
        <n v="490"/>
        <n v="323"/>
        <n v="210"/>
        <n v="6"/>
        <n v="440"/>
        <n v="160"/>
        <n v="35"/>
        <n v="74"/>
        <n v="14"/>
        <n v="3042"/>
        <n v="4649"/>
        <n v="540"/>
        <n v="908"/>
        <n v="213"/>
        <n v="252"/>
        <n v="138"/>
        <n v="220"/>
        <n v="675"/>
        <n v="320"/>
        <n v="880"/>
        <n v="101"/>
        <n v="230"/>
        <n v="395"/>
        <n v="273"/>
        <n v="290"/>
        <n v="62"/>
        <n v="250"/>
        <n v="1130"/>
        <n v="2525"/>
        <m/>
      </sharedItems>
    </cacheField>
    <cacheField name="revenue_per_hour" numFmtId="0">
      <sharedItems containsBlank="1" containsNumber="1" containsMixedTypes="1" count="112">
        <n v="33.97"/>
        <n v="21.73"/>
        <n v="36.75"/>
        <n v="20.35"/>
        <n v="25.33"/>
        <n v="27.45"/>
        <s v=""/>
        <n v="57.57"/>
        <n v="93.2"/>
        <n v="52.73"/>
        <n v="53.33"/>
        <n v="70"/>
        <n v="3.21"/>
        <n v="23.36"/>
        <n v="59"/>
        <n v="40"/>
        <n v="2.5"/>
        <n v="65.45"/>
        <n v="5.13"/>
        <n v="6.58"/>
        <n v="22.89"/>
        <n v="14"/>
        <n v="50"/>
        <n v="42"/>
        <n v="66.67"/>
        <n v="12"/>
        <n v="93.33"/>
        <n v="3.33"/>
        <n v="60"/>
        <n v="52"/>
        <n v="56"/>
        <n v="57.33"/>
        <n v="56.8"/>
        <n v="49.25"/>
        <n v="32.66"/>
        <n v="21.81"/>
        <n v="39.05"/>
        <n v="21.93"/>
        <n v="32.6"/>
        <n v="28.5"/>
        <n v="22.5"/>
        <n v="13.33"/>
        <n v="60.67"/>
        <n v="82.89"/>
        <n v="47.86"/>
        <n v="61.75"/>
        <n v="5"/>
        <n v="33.31"/>
        <n v="24.17"/>
        <n v="57.5"/>
        <n v="30"/>
        <n v="61.28"/>
        <n v="5.42"/>
        <n v="8.83"/>
        <n v="26.88"/>
        <n v="66.22"/>
        <n v="80"/>
        <n v="5.45"/>
        <n v="52.22"/>
        <n v="56.4"/>
        <n v="57.6"/>
        <n v="41.85"/>
        <n v="48"/>
        <n v="29.71"/>
        <n v="19.5"/>
        <n v="38"/>
        <n v="25.48"/>
        <n v="28.18"/>
        <n v="26.52"/>
        <n v="25"/>
        <n v="61.86"/>
        <n v="91.46"/>
        <n v="57.32"/>
        <n v="51.33"/>
        <n v="62.5"/>
        <n v="7.5"/>
        <n v="35.06"/>
        <n v="21.58"/>
        <n v="28"/>
        <n v="58.18"/>
        <n v="7.33"/>
        <n v="7.67"/>
        <n v="17.05"/>
        <n v="24"/>
        <n v="83.81"/>
        <n v="2.67"/>
        <n v="23.33"/>
        <n v="45"/>
        <n v="59.2"/>
        <n v="34.18"/>
        <n v="22.93"/>
        <n v="37.71"/>
        <n v="23.97"/>
        <n v="26.61"/>
        <n v="30.27"/>
        <n v="34.5"/>
        <n v="62.86"/>
        <n v="101.08"/>
        <n v="43.33"/>
        <n v="9.33"/>
        <n v="33.96"/>
        <n v="27.71"/>
        <n v="46"/>
        <n v="31.25"/>
        <n v="78"/>
        <n v="4.81"/>
        <n v="22.67"/>
        <n v="82"/>
        <n v="18"/>
        <n v="61.14"/>
        <n v="47.21"/>
        <m/>
      </sharedItems>
    </cacheField>
    <cacheField name="discount" numFmtId="0">
      <sharedItems containsString="0" containsBlank="1" containsNumber="1" minValue="0" maxValue="713" count="53">
        <n v="250"/>
        <n v="550"/>
        <n v="129"/>
        <n v="400"/>
        <n v="171"/>
        <n v="25"/>
        <n v="20"/>
        <n v="33"/>
        <n v="64"/>
        <n v="0"/>
        <n v="63"/>
        <n v="30"/>
        <n v="15"/>
        <n v="8"/>
        <n v="5"/>
        <n v="10"/>
        <n v="361"/>
        <n v="252"/>
        <n v="2"/>
        <n v="45"/>
        <n v="35"/>
        <n v="207"/>
        <n v="162.5"/>
        <n v="39"/>
        <n v="713"/>
        <n v="110"/>
        <n v="55"/>
        <n v="125"/>
        <n v="105"/>
        <n v="19"/>
        <n v="397"/>
        <n v="47"/>
        <n v="75"/>
        <n v="3"/>
        <n v="14"/>
        <n v="382"/>
        <n v="121"/>
        <n v="128"/>
        <n v="6"/>
        <n v="4"/>
        <n v="162"/>
        <n v="48"/>
        <n v="65"/>
        <n v="51"/>
        <n v="74"/>
        <n v="12"/>
        <n v="201"/>
        <n v="60"/>
        <n v="18"/>
        <n v="165"/>
        <n v="13"/>
        <n v="70"/>
        <m/>
      </sharedItems>
    </cacheField>
    <cacheField name="net_amount" numFmtId="0">
      <sharedItems containsString="0" containsBlank="1" containsNumber="1" minValue="0" maxValue="12499.5" count="112">
        <n v="7899"/>
        <n v="8202.5"/>
        <n v="1176"/>
        <n v="1506"/>
        <n v="475"/>
        <n v="350"/>
        <n v="0"/>
        <n v="662"/>
        <n v="1631"/>
        <n v="1450"/>
        <n v="40"/>
        <n v="175"/>
        <n v="53"/>
        <n v="327"/>
        <n v="177"/>
        <n v="20"/>
        <n v="50"/>
        <n v="180"/>
        <n v="268"/>
        <n v="194"/>
        <n v="103"/>
        <n v="7"/>
        <n v="75"/>
        <n v="105"/>
        <n v="45"/>
        <n v="70"/>
        <n v="5"/>
        <n v="270"/>
        <n v="169"/>
        <n v="98"/>
        <n v="43"/>
        <n v="28"/>
        <n v="71"/>
        <n v="985"/>
        <n v="5960"/>
        <n v="12499.5"/>
        <n v="1601"/>
        <n v="2127"/>
        <n v="595"/>
        <n v="513"/>
        <n v="90"/>
        <n v="10"/>
        <n v="1456"/>
        <n v="3440"/>
        <n v="1986"/>
        <n v="247"/>
        <n v="2265"/>
        <n v="139"/>
        <n v="345"/>
        <n v="300"/>
        <n v="383"/>
        <n v="362"/>
        <n v="64"/>
        <n v="430"/>
        <n v="15"/>
        <n v="298"/>
        <n v="30"/>
        <n v="60"/>
        <n v="235"/>
        <n v="280"/>
        <n v="141"/>
        <n v="42"/>
        <n v="72"/>
        <n v="4101"/>
        <n v="120"/>
        <n v="104"/>
        <n v="273"/>
        <n v="190"/>
        <n v="1911"/>
        <n v="310"/>
        <n v="557"/>
        <n v="100"/>
        <n v="1299"/>
        <n v="2698"/>
        <n v="1605"/>
        <n v="77"/>
        <n v="250"/>
        <n v="561"/>
        <n v="178"/>
        <n v="21"/>
        <n v="480"/>
        <n v="11"/>
        <n v="161"/>
        <n v="162"/>
        <n v="6"/>
        <n v="440"/>
        <n v="160"/>
        <n v="35"/>
        <n v="74"/>
        <n v="14"/>
        <n v="2991"/>
        <n v="4575"/>
        <n v="528"/>
        <n v="707"/>
        <n v="153"/>
        <n v="227"/>
        <n v="138"/>
        <n v="220"/>
        <n v="657"/>
        <n v="260"/>
        <n v="815"/>
        <n v="97"/>
        <n v="230"/>
        <n v="375"/>
        <n v="125"/>
        <n v="49"/>
        <n v="68"/>
        <n v="246"/>
        <n v="18"/>
        <n v="1070"/>
        <n v="2455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7"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8"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12" firstHeaderRow="0" firstDataRow="1" firstDataCol="2"/>
  <pivotFields count="9">
    <pivotField compact="0" showAll="0">
      <items count="5">
        <item x="2"/>
        <item x="3"/>
        <item x="1"/>
        <item x="0"/>
        <item t="default"/>
      </items>
    </pivotField>
    <pivotField axis="axisRow" compact="0" sortType="descending" showAll="0">
      <items count="50">
        <item x="0"/>
        <item x="16"/>
        <item x="31"/>
        <item x="4"/>
        <item x="6"/>
        <item x="13"/>
        <item x="7"/>
        <item x="10"/>
        <item x="11"/>
        <item x="20"/>
        <item x="1"/>
        <item x="22"/>
        <item x="38"/>
        <item x="5"/>
        <item x="2"/>
        <item x="43"/>
        <item x="42"/>
        <item x="40"/>
        <item x="44"/>
        <item x="14"/>
        <item x="24"/>
        <item x="26"/>
        <item x="36"/>
        <item x="33"/>
        <item x="32"/>
        <item x="37"/>
        <item x="47"/>
        <item x="35"/>
        <item x="34"/>
        <item x="25"/>
        <item x="12"/>
        <item x="17"/>
        <item x="48"/>
        <item x="18"/>
        <item x="8"/>
        <item x="30"/>
        <item x="45"/>
        <item x="39"/>
        <item x="29"/>
        <item x="41"/>
        <item x="23"/>
        <item x="46"/>
        <item x="3"/>
        <item x="27"/>
        <item x="21"/>
        <item x="28"/>
        <item x="9"/>
        <item x="19"/>
        <item x="1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ortType="descending" showAll="0">
      <items count="9">
        <item sd="0" x="6"/>
        <item sd="0" x="5"/>
        <item sd="0" x="3"/>
        <item sd="0" x="1"/>
        <item sd="0" x="4"/>
        <item sd="0" x="0"/>
        <item sd="0" x="7"/>
        <item sd="0"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65">
        <item x="15"/>
        <item x="17"/>
        <item x="6"/>
        <item x="56"/>
        <item x="27"/>
        <item x="23"/>
        <item x="26"/>
        <item x="53"/>
        <item x="45"/>
        <item x="11"/>
        <item x="19"/>
        <item x="16"/>
        <item x="25"/>
        <item x="49"/>
        <item x="24"/>
        <item x="34"/>
        <item x="22"/>
        <item x="47"/>
        <item x="9"/>
        <item x="46"/>
        <item x="38"/>
        <item x="39"/>
        <item x="41"/>
        <item x="60"/>
        <item x="43"/>
        <item x="59"/>
        <item x="54"/>
        <item x="55"/>
        <item x="40"/>
        <item x="51"/>
        <item x="7"/>
        <item x="61"/>
        <item x="5"/>
        <item x="13"/>
        <item x="44"/>
        <item x="12"/>
        <item x="8"/>
        <item x="33"/>
        <item x="32"/>
        <item x="4"/>
        <item x="18"/>
        <item x="14"/>
        <item x="35"/>
        <item x="62"/>
        <item x="10"/>
        <item x="52"/>
        <item x="21"/>
        <item x="2"/>
        <item x="30"/>
        <item x="36"/>
        <item x="63"/>
        <item x="20"/>
        <item x="42"/>
        <item x="37"/>
        <item x="3"/>
        <item x="50"/>
        <item x="57"/>
        <item x="31"/>
        <item x="48"/>
        <item x="28"/>
        <item x="58"/>
        <item x="0"/>
        <item x="1"/>
        <item x="29"/>
        <item t="default"/>
      </items>
    </pivotField>
    <pivotField compact="0" showAll="0">
      <items count="57">
        <item x="6"/>
        <item x="21"/>
        <item x="9"/>
        <item x="15"/>
        <item x="11"/>
        <item x="23"/>
        <item x="25"/>
        <item x="34"/>
        <item x="20"/>
        <item x="16"/>
        <item x="17"/>
        <item x="53"/>
        <item x="24"/>
        <item x="14"/>
        <item x="22"/>
        <item x="35"/>
        <item x="5"/>
        <item x="50"/>
        <item x="43"/>
        <item x="40"/>
        <item x="7"/>
        <item x="31"/>
        <item x="36"/>
        <item x="55"/>
        <item x="42"/>
        <item x="38"/>
        <item x="39"/>
        <item x="48"/>
        <item x="8"/>
        <item x="46"/>
        <item x="45"/>
        <item x="32"/>
        <item x="41"/>
        <item x="10"/>
        <item x="13"/>
        <item x="47"/>
        <item x="12"/>
        <item x="30"/>
        <item x="4"/>
        <item x="33"/>
        <item x="49"/>
        <item x="54"/>
        <item x="19"/>
        <item x="2"/>
        <item x="3"/>
        <item x="44"/>
        <item x="28"/>
        <item x="51"/>
        <item x="29"/>
        <item x="18"/>
        <item x="37"/>
        <item x="26"/>
        <item x="52"/>
        <item x="0"/>
        <item x="1"/>
        <item x="27"/>
        <item t="default"/>
      </items>
    </pivotField>
    <pivotField compact="0" showAll="0">
      <items count="109">
        <item x="9"/>
        <item x="82"/>
        <item x="21"/>
        <item x="87"/>
        <item x="54"/>
        <item x="75"/>
        <item x="6"/>
        <item x="78"/>
        <item x="16"/>
        <item x="32"/>
        <item x="27"/>
        <item x="85"/>
        <item x="11"/>
        <item x="60"/>
        <item x="31"/>
        <item x="56"/>
        <item x="24"/>
        <item x="17"/>
        <item x="104"/>
        <item x="26"/>
        <item x="33"/>
        <item x="61"/>
        <item x="86"/>
        <item x="25"/>
        <item x="73"/>
        <item x="22"/>
        <item x="13"/>
        <item x="41"/>
        <item x="30"/>
        <item x="99"/>
        <item x="20"/>
        <item x="63"/>
        <item x="52"/>
        <item x="69"/>
        <item x="94"/>
        <item x="59"/>
        <item x="23"/>
        <item x="47"/>
        <item x="84"/>
        <item x="29"/>
        <item x="12"/>
        <item x="77"/>
        <item x="15"/>
        <item x="65"/>
        <item x="81"/>
        <item x="92"/>
        <item x="95"/>
        <item x="100"/>
        <item x="57"/>
        <item x="105"/>
        <item x="93"/>
        <item x="28"/>
        <item x="102"/>
        <item x="45"/>
        <item x="74"/>
        <item x="64"/>
        <item x="103"/>
        <item x="55"/>
        <item x="49"/>
        <item x="58"/>
        <item x="97"/>
        <item x="80"/>
        <item x="14"/>
        <item x="48"/>
        <item x="5"/>
        <item x="101"/>
        <item x="50"/>
        <item x="67"/>
        <item x="83"/>
        <item x="19"/>
        <item x="53"/>
        <item x="79"/>
        <item x="90"/>
        <item x="40"/>
        <item x="76"/>
        <item x="68"/>
        <item x="18"/>
        <item x="4"/>
        <item x="96"/>
        <item x="7"/>
        <item x="39"/>
        <item x="51"/>
        <item x="98"/>
        <item x="91"/>
        <item x="34"/>
        <item x="106"/>
        <item x="2"/>
        <item x="70"/>
        <item x="42"/>
        <item x="10"/>
        <item x="37"/>
        <item x="72"/>
        <item x="8"/>
        <item x="3"/>
        <item x="44"/>
        <item x="66"/>
        <item x="46"/>
        <item x="107"/>
        <item x="71"/>
        <item x="38"/>
        <item x="88"/>
        <item x="43"/>
        <item x="62"/>
        <item x="89"/>
        <item x="35"/>
        <item x="0"/>
        <item x="1"/>
        <item x="36"/>
        <item t="default"/>
      </items>
    </pivotField>
    <pivotField compact="0" showAll="0">
      <items count="112">
        <item x="16"/>
        <item x="85"/>
        <item x="12"/>
        <item x="27"/>
        <item x="105"/>
        <item x="46"/>
        <item x="18"/>
        <item x="52"/>
        <item x="57"/>
        <item x="19"/>
        <item x="80"/>
        <item x="75"/>
        <item x="81"/>
        <item x="53"/>
        <item x="99"/>
        <item x="25"/>
        <item x="41"/>
        <item x="21"/>
        <item x="82"/>
        <item x="108"/>
        <item x="64"/>
        <item x="3"/>
        <item x="77"/>
        <item x="1"/>
        <item x="35"/>
        <item x="37"/>
        <item x="40"/>
        <item x="106"/>
        <item x="20"/>
        <item x="90"/>
        <item x="86"/>
        <item x="13"/>
        <item x="92"/>
        <item x="83"/>
        <item x="48"/>
        <item x="69"/>
        <item x="4"/>
        <item x="66"/>
        <item x="68"/>
        <item x="93"/>
        <item x="54"/>
        <item x="5"/>
        <item x="101"/>
        <item x="78"/>
        <item x="67"/>
        <item x="39"/>
        <item x="63"/>
        <item x="50"/>
        <item x="94"/>
        <item x="103"/>
        <item x="38"/>
        <item x="34"/>
        <item x="47"/>
        <item x="100"/>
        <item x="0"/>
        <item x="89"/>
        <item x="95"/>
        <item x="76"/>
        <item x="2"/>
        <item x="91"/>
        <item x="65"/>
        <item x="36"/>
        <item x="15"/>
        <item x="61"/>
        <item x="23"/>
        <item x="98"/>
        <item x="87"/>
        <item x="102"/>
        <item x="110"/>
        <item x="44"/>
        <item x="62"/>
        <item x="33"/>
        <item x="22"/>
        <item x="73"/>
        <item x="29"/>
        <item x="58"/>
        <item x="9"/>
        <item x="10"/>
        <item x="30"/>
        <item x="59"/>
        <item x="32"/>
        <item x="72"/>
        <item x="31"/>
        <item x="49"/>
        <item x="7"/>
        <item x="60"/>
        <item x="79"/>
        <item x="14"/>
        <item x="88"/>
        <item x="28"/>
        <item x="42"/>
        <item x="109"/>
        <item x="51"/>
        <item x="45"/>
        <item x="70"/>
        <item x="74"/>
        <item x="96"/>
        <item x="17"/>
        <item x="55"/>
        <item x="24"/>
        <item x="11"/>
        <item x="104"/>
        <item x="56"/>
        <item x="107"/>
        <item x="43"/>
        <item x="84"/>
        <item x="71"/>
        <item x="8"/>
        <item x="26"/>
        <item x="97"/>
        <item x="6"/>
        <item t="default"/>
      </items>
    </pivotField>
    <pivotField compact="0" showAll="0">
      <items count="53">
        <item x="9"/>
        <item x="18"/>
        <item x="33"/>
        <item x="39"/>
        <item x="14"/>
        <item x="38"/>
        <item x="13"/>
        <item x="15"/>
        <item x="45"/>
        <item x="50"/>
        <item x="34"/>
        <item x="12"/>
        <item x="48"/>
        <item x="29"/>
        <item x="6"/>
        <item x="5"/>
        <item x="11"/>
        <item x="7"/>
        <item x="20"/>
        <item x="23"/>
        <item x="19"/>
        <item x="31"/>
        <item x="41"/>
        <item x="43"/>
        <item x="26"/>
        <item x="47"/>
        <item x="10"/>
        <item x="8"/>
        <item x="42"/>
        <item x="51"/>
        <item x="44"/>
        <item x="32"/>
        <item x="28"/>
        <item x="25"/>
        <item x="36"/>
        <item x="27"/>
        <item x="37"/>
        <item x="2"/>
        <item x="40"/>
        <item x="22"/>
        <item x="49"/>
        <item x="4"/>
        <item x="46"/>
        <item x="21"/>
        <item x="0"/>
        <item x="17"/>
        <item x="16"/>
        <item x="35"/>
        <item x="30"/>
        <item x="3"/>
        <item x="1"/>
        <item x="24"/>
        <item t="default"/>
      </items>
    </pivotField>
    <pivotField dataField="1" compact="0" showAll="0">
      <items count="112">
        <item x="6"/>
        <item x="26"/>
        <item x="84"/>
        <item x="21"/>
        <item x="41"/>
        <item x="81"/>
        <item x="89"/>
        <item x="54"/>
        <item x="108"/>
        <item x="15"/>
        <item x="79"/>
        <item x="31"/>
        <item x="56"/>
        <item x="87"/>
        <item x="10"/>
        <item x="61"/>
        <item x="30"/>
        <item x="24"/>
        <item x="105"/>
        <item x="16"/>
        <item x="12"/>
        <item x="57"/>
        <item x="52"/>
        <item x="106"/>
        <item x="25"/>
        <item x="32"/>
        <item x="62"/>
        <item x="88"/>
        <item x="22"/>
        <item x="75"/>
        <item x="40"/>
        <item x="101"/>
        <item x="29"/>
        <item x="71"/>
        <item x="20"/>
        <item x="65"/>
        <item x="23"/>
        <item x="64"/>
        <item x="104"/>
        <item x="96"/>
        <item x="47"/>
        <item x="60"/>
        <item x="94"/>
        <item x="86"/>
        <item x="82"/>
        <item x="83"/>
        <item x="28"/>
        <item x="11"/>
        <item x="14"/>
        <item x="78"/>
        <item x="17"/>
        <item x="67"/>
        <item x="19"/>
        <item x="97"/>
        <item x="95"/>
        <item x="102"/>
        <item x="58"/>
        <item x="107"/>
        <item x="45"/>
        <item x="76"/>
        <item x="99"/>
        <item x="18"/>
        <item x="27"/>
        <item x="66"/>
        <item x="59"/>
        <item x="55"/>
        <item x="49"/>
        <item x="69"/>
        <item x="13"/>
        <item x="48"/>
        <item x="5"/>
        <item x="51"/>
        <item x="103"/>
        <item x="50"/>
        <item x="53"/>
        <item x="85"/>
        <item x="4"/>
        <item x="80"/>
        <item x="39"/>
        <item x="92"/>
        <item x="70"/>
        <item x="77"/>
        <item x="38"/>
        <item x="98"/>
        <item x="7"/>
        <item x="93"/>
        <item x="100"/>
        <item x="33"/>
        <item x="109"/>
        <item x="2"/>
        <item x="72"/>
        <item x="9"/>
        <item x="42"/>
        <item x="3"/>
        <item x="36"/>
        <item x="74"/>
        <item x="8"/>
        <item x="68"/>
        <item x="44"/>
        <item x="37"/>
        <item x="46"/>
        <item x="110"/>
        <item x="73"/>
        <item x="90"/>
        <item x="43"/>
        <item x="63"/>
        <item x="91"/>
        <item x="34"/>
        <item x="0"/>
        <item x="1"/>
        <item x="35"/>
        <item t="default"/>
      </items>
    </pivotField>
  </pivotFields>
  <rowFields count="2">
    <field x="2"/>
    <field x="1"/>
  </rowFields>
  <rowItems count="9">
    <i>
      <x v="5"/>
    </i>
    <i>
      <x v="7"/>
    </i>
    <i>
      <x v="3"/>
    </i>
    <i>
      <x v="2"/>
    </i>
    <i>
      <x v="1"/>
    </i>
    <i>
      <x v="4"/>
    </i>
    <i>
      <x v="6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_amount" fld="8" baseField="0" baseItem="0" numFmtId="176"/>
    <dataField name="Sum of net_amount2" fld="8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18">
    <format dxfId="0">
      <pivotArea collapsedLevelsAreSubtotals="1" fieldPosition="0">
        <references count="2">
          <reference field="1" count="1" selected="0">
            <x v="0"/>
          </reference>
          <reference field="2" count="1" selected="0">
            <x v="5"/>
          </reference>
        </references>
      </pivotArea>
    </format>
    <format dxfId="1">
      <pivotArea collapsedLevelsAreSubtotals="1" fieldPosition="0">
        <references count="2">
          <reference field="1" count="1" selected="0">
            <x v="0"/>
          </reference>
          <reference field="2" count="1" selected="0">
            <x v="5"/>
          </reference>
        </references>
      </pivotArea>
    </format>
    <format dxfId="2">
      <pivotArea collapsedLevelsAreSubtotals="1" fieldPosition="0">
        <references count="2">
          <reference field="1" count="1" selected="0">
            <x v="0"/>
          </reference>
          <reference field="2" count="1" selected="0">
            <x v="5"/>
          </reference>
        </references>
      </pivotArea>
    </format>
    <format dxfId="3">
      <pivotArea collapsedLevelsAreSubtotals="1" fieldPosition="0"/>
    </format>
    <format dxfId="4">
      <pivotArea grandRow="1" collapsedLevelsAreSubtotals="1" fieldPosition="0"/>
    </format>
    <format dxfId="5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grandRow="1" fieldPosition="0"/>
    </format>
    <format dxfId="7">
      <pivotArea grandRow="1" collapsedLevelsAreSubtotals="1" fieldPosition="0"/>
    </format>
    <format dxfId="8">
      <pivotArea dataOnly="0" labelOnly="1" grandRow="1" fieldPosition="0"/>
    </format>
    <format dxfId="9">
      <pivotArea grandRow="1" collapsedLevelsAreSubtotals="1" fieldPosition="0"/>
    </format>
    <format dxfId="10">
      <pivotArea field="2" type="button" dataOnly="0" labelOnly="1" outline="0" fieldPosition="0"/>
    </format>
    <format dxfId="11">
      <pivotArea field="1" type="button" dataOnly="0" labelOnly="1" outline="0" fieldPosition="0"/>
    </format>
    <format dxfId="12">
      <pivotArea dataOnly="0" labelOnly="1" fieldPosition="0">
        <references count="1">
          <reference field="4294967294" count="1">
            <x v="0"/>
          </reference>
        </references>
      </pivotArea>
    </format>
    <format dxfId="13">
      <pivotArea dataOnly="0" labelOnly="1" fieldPosition="0">
        <references count="1">
          <reference field="4294967294" count="1">
            <x v="1"/>
          </reference>
        </references>
      </pivotArea>
    </format>
    <format dxfId="14">
      <pivotArea field="2" type="button" dataOnly="0" labelOnly="1" outline="0" fieldPosition="0"/>
    </format>
    <format dxfId="15">
      <pivotArea field="1" type="button" dataOnly="0" labelOnly="1" outline="0" fieldPosition="0"/>
    </format>
    <format dxfId="16">
      <pivotArea dataOnly="0" labelOnly="1" fieldPosition="0">
        <references count="1">
          <reference field="4294967294" count="1">
            <x v="0"/>
          </reference>
        </references>
      </pivotArea>
    </format>
    <format dxfId="17">
      <pivotArea dataOnly="0" labelOnly="1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F3:H12" firstHeaderRow="1" firstDataRow="1" firstDataCol="2"/>
  <pivotFields count="9">
    <pivotField compact="0" showAll="0">
      <items count="5">
        <item x="2"/>
        <item x="3"/>
        <item x="1"/>
        <item x="0"/>
        <item t="default"/>
      </items>
    </pivotField>
    <pivotField axis="axisRow" compact="0" sortType="descending" showAll="0">
      <items count="50">
        <item x="0"/>
        <item x="16"/>
        <item x="31"/>
        <item x="4"/>
        <item x="6"/>
        <item x="13"/>
        <item x="7"/>
        <item x="10"/>
        <item x="11"/>
        <item x="20"/>
        <item x="1"/>
        <item x="22"/>
        <item x="38"/>
        <item x="5"/>
        <item x="2"/>
        <item x="43"/>
        <item x="42"/>
        <item x="40"/>
        <item x="44"/>
        <item x="14"/>
        <item x="24"/>
        <item x="26"/>
        <item x="36"/>
        <item x="33"/>
        <item x="32"/>
        <item x="37"/>
        <item x="47"/>
        <item x="35"/>
        <item x="34"/>
        <item x="25"/>
        <item x="12"/>
        <item x="17"/>
        <item x="48"/>
        <item x="18"/>
        <item x="8"/>
        <item x="30"/>
        <item x="45"/>
        <item x="39"/>
        <item x="29"/>
        <item x="41"/>
        <item x="23"/>
        <item x="46"/>
        <item x="3"/>
        <item x="27"/>
        <item x="21"/>
        <item x="28"/>
        <item x="9"/>
        <item x="19"/>
        <item x="1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ortType="descending" showAll="0">
      <items count="9">
        <item sd="0" x="6"/>
        <item sd="0" x="5"/>
        <item sd="0" x="3"/>
        <item sd="0" x="1"/>
        <item sd="0" x="4"/>
        <item sd="0" x="0"/>
        <item sd="0" x="7"/>
        <item sd="0"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65">
        <item x="15"/>
        <item x="17"/>
        <item x="6"/>
        <item x="56"/>
        <item x="27"/>
        <item x="23"/>
        <item x="26"/>
        <item x="53"/>
        <item x="45"/>
        <item x="11"/>
        <item x="19"/>
        <item x="16"/>
        <item x="25"/>
        <item x="49"/>
        <item x="24"/>
        <item x="34"/>
        <item x="22"/>
        <item x="47"/>
        <item x="9"/>
        <item x="46"/>
        <item x="38"/>
        <item x="39"/>
        <item x="41"/>
        <item x="60"/>
        <item x="43"/>
        <item x="59"/>
        <item x="54"/>
        <item x="55"/>
        <item x="40"/>
        <item x="51"/>
        <item x="7"/>
        <item x="61"/>
        <item x="5"/>
        <item x="13"/>
        <item x="44"/>
        <item x="12"/>
        <item x="8"/>
        <item x="33"/>
        <item x="32"/>
        <item x="4"/>
        <item x="18"/>
        <item x="14"/>
        <item x="35"/>
        <item x="62"/>
        <item x="10"/>
        <item x="52"/>
        <item x="21"/>
        <item x="2"/>
        <item x="30"/>
        <item x="36"/>
        <item x="63"/>
        <item x="20"/>
        <item x="42"/>
        <item x="37"/>
        <item x="3"/>
        <item x="50"/>
        <item x="57"/>
        <item x="31"/>
        <item x="48"/>
        <item x="28"/>
        <item x="58"/>
        <item x="0"/>
        <item x="1"/>
        <item x="29"/>
        <item t="default"/>
      </items>
    </pivotField>
    <pivotField compact="0" showAll="0">
      <items count="57">
        <item x="6"/>
        <item x="21"/>
        <item x="9"/>
        <item x="15"/>
        <item x="11"/>
        <item x="23"/>
        <item x="25"/>
        <item x="34"/>
        <item x="20"/>
        <item x="16"/>
        <item x="17"/>
        <item x="53"/>
        <item x="24"/>
        <item x="14"/>
        <item x="22"/>
        <item x="35"/>
        <item x="5"/>
        <item x="50"/>
        <item x="43"/>
        <item x="40"/>
        <item x="7"/>
        <item x="31"/>
        <item x="36"/>
        <item x="55"/>
        <item x="42"/>
        <item x="38"/>
        <item x="39"/>
        <item x="48"/>
        <item x="8"/>
        <item x="46"/>
        <item x="45"/>
        <item x="32"/>
        <item x="41"/>
        <item x="10"/>
        <item x="13"/>
        <item x="47"/>
        <item x="12"/>
        <item x="30"/>
        <item x="4"/>
        <item x="33"/>
        <item x="49"/>
        <item x="54"/>
        <item x="19"/>
        <item x="2"/>
        <item x="3"/>
        <item x="44"/>
        <item x="28"/>
        <item x="51"/>
        <item x="29"/>
        <item x="18"/>
        <item x="37"/>
        <item x="26"/>
        <item x="52"/>
        <item x="0"/>
        <item x="1"/>
        <item x="27"/>
        <item t="default"/>
      </items>
    </pivotField>
    <pivotField compact="0" showAll="0">
      <items count="109">
        <item x="9"/>
        <item x="82"/>
        <item x="21"/>
        <item x="87"/>
        <item x="54"/>
        <item x="75"/>
        <item x="6"/>
        <item x="78"/>
        <item x="16"/>
        <item x="32"/>
        <item x="27"/>
        <item x="85"/>
        <item x="11"/>
        <item x="60"/>
        <item x="31"/>
        <item x="56"/>
        <item x="24"/>
        <item x="17"/>
        <item x="104"/>
        <item x="26"/>
        <item x="33"/>
        <item x="61"/>
        <item x="86"/>
        <item x="25"/>
        <item x="73"/>
        <item x="22"/>
        <item x="13"/>
        <item x="41"/>
        <item x="30"/>
        <item x="99"/>
        <item x="20"/>
        <item x="63"/>
        <item x="52"/>
        <item x="69"/>
        <item x="94"/>
        <item x="59"/>
        <item x="23"/>
        <item x="47"/>
        <item x="84"/>
        <item x="29"/>
        <item x="12"/>
        <item x="77"/>
        <item x="15"/>
        <item x="65"/>
        <item x="81"/>
        <item x="92"/>
        <item x="95"/>
        <item x="100"/>
        <item x="57"/>
        <item x="105"/>
        <item x="93"/>
        <item x="28"/>
        <item x="102"/>
        <item x="45"/>
        <item x="74"/>
        <item x="64"/>
        <item x="103"/>
        <item x="55"/>
        <item x="49"/>
        <item x="58"/>
        <item x="97"/>
        <item x="80"/>
        <item x="14"/>
        <item x="48"/>
        <item x="5"/>
        <item x="101"/>
        <item x="50"/>
        <item x="67"/>
        <item x="83"/>
        <item x="19"/>
        <item x="53"/>
        <item x="79"/>
        <item x="90"/>
        <item x="40"/>
        <item x="76"/>
        <item x="68"/>
        <item x="18"/>
        <item x="4"/>
        <item x="96"/>
        <item x="7"/>
        <item x="39"/>
        <item x="51"/>
        <item x="98"/>
        <item x="91"/>
        <item x="34"/>
        <item x="106"/>
        <item x="2"/>
        <item x="70"/>
        <item x="42"/>
        <item x="10"/>
        <item x="37"/>
        <item x="72"/>
        <item x="8"/>
        <item x="3"/>
        <item x="44"/>
        <item x="66"/>
        <item x="46"/>
        <item x="107"/>
        <item x="71"/>
        <item x="38"/>
        <item x="88"/>
        <item x="43"/>
        <item x="62"/>
        <item x="89"/>
        <item x="35"/>
        <item x="0"/>
        <item x="1"/>
        <item x="36"/>
        <item t="default"/>
      </items>
    </pivotField>
    <pivotField compact="0" showAll="0">
      <items count="112">
        <item x="16"/>
        <item x="85"/>
        <item x="12"/>
        <item x="27"/>
        <item x="105"/>
        <item x="46"/>
        <item x="18"/>
        <item x="52"/>
        <item x="57"/>
        <item x="19"/>
        <item x="80"/>
        <item x="75"/>
        <item x="81"/>
        <item x="53"/>
        <item x="99"/>
        <item x="25"/>
        <item x="41"/>
        <item x="21"/>
        <item x="82"/>
        <item x="108"/>
        <item x="64"/>
        <item x="3"/>
        <item x="77"/>
        <item x="1"/>
        <item x="35"/>
        <item x="37"/>
        <item x="40"/>
        <item x="106"/>
        <item x="20"/>
        <item x="90"/>
        <item x="86"/>
        <item x="13"/>
        <item x="92"/>
        <item x="83"/>
        <item x="48"/>
        <item x="69"/>
        <item x="4"/>
        <item x="66"/>
        <item x="68"/>
        <item x="93"/>
        <item x="54"/>
        <item x="5"/>
        <item x="101"/>
        <item x="78"/>
        <item x="67"/>
        <item x="39"/>
        <item x="63"/>
        <item x="50"/>
        <item x="94"/>
        <item x="103"/>
        <item x="38"/>
        <item x="34"/>
        <item x="47"/>
        <item x="100"/>
        <item x="0"/>
        <item x="89"/>
        <item x="95"/>
        <item x="76"/>
        <item x="2"/>
        <item x="91"/>
        <item x="65"/>
        <item x="36"/>
        <item x="15"/>
        <item x="61"/>
        <item x="23"/>
        <item x="98"/>
        <item x="87"/>
        <item x="102"/>
        <item x="110"/>
        <item x="44"/>
        <item x="62"/>
        <item x="33"/>
        <item x="22"/>
        <item x="73"/>
        <item x="29"/>
        <item x="58"/>
        <item x="9"/>
        <item x="10"/>
        <item x="30"/>
        <item x="59"/>
        <item x="32"/>
        <item x="72"/>
        <item x="31"/>
        <item x="49"/>
        <item x="7"/>
        <item x="60"/>
        <item x="79"/>
        <item x="14"/>
        <item x="88"/>
        <item x="28"/>
        <item x="42"/>
        <item x="109"/>
        <item x="51"/>
        <item x="45"/>
        <item x="70"/>
        <item x="74"/>
        <item x="96"/>
        <item x="17"/>
        <item x="55"/>
        <item x="24"/>
        <item x="11"/>
        <item x="104"/>
        <item x="56"/>
        <item x="107"/>
        <item x="43"/>
        <item x="84"/>
        <item x="71"/>
        <item x="8"/>
        <item x="26"/>
        <item x="97"/>
        <item x="6"/>
        <item t="default"/>
      </items>
    </pivotField>
    <pivotField compact="0" showAll="0">
      <items count="53">
        <item x="9"/>
        <item x="18"/>
        <item x="33"/>
        <item x="39"/>
        <item x="14"/>
        <item x="38"/>
        <item x="13"/>
        <item x="15"/>
        <item x="45"/>
        <item x="50"/>
        <item x="34"/>
        <item x="12"/>
        <item x="48"/>
        <item x="29"/>
        <item x="6"/>
        <item x="5"/>
        <item x="11"/>
        <item x="7"/>
        <item x="20"/>
        <item x="23"/>
        <item x="19"/>
        <item x="31"/>
        <item x="41"/>
        <item x="43"/>
        <item x="26"/>
        <item x="47"/>
        <item x="10"/>
        <item x="8"/>
        <item x="42"/>
        <item x="51"/>
        <item x="44"/>
        <item x="32"/>
        <item x="28"/>
        <item x="25"/>
        <item x="36"/>
        <item x="27"/>
        <item x="37"/>
        <item x="2"/>
        <item x="40"/>
        <item x="22"/>
        <item x="49"/>
        <item x="4"/>
        <item x="46"/>
        <item x="21"/>
        <item x="0"/>
        <item x="17"/>
        <item x="16"/>
        <item x="35"/>
        <item x="30"/>
        <item x="3"/>
        <item x="1"/>
        <item x="24"/>
        <item t="default"/>
      </items>
    </pivotField>
    <pivotField dataField="1" compact="0" showAll="0">
      <items count="112">
        <item x="6"/>
        <item x="26"/>
        <item x="84"/>
        <item x="21"/>
        <item x="41"/>
        <item x="81"/>
        <item x="89"/>
        <item x="54"/>
        <item x="108"/>
        <item x="15"/>
        <item x="79"/>
        <item x="31"/>
        <item x="56"/>
        <item x="87"/>
        <item x="10"/>
        <item x="61"/>
        <item x="30"/>
        <item x="24"/>
        <item x="105"/>
        <item x="16"/>
        <item x="12"/>
        <item x="57"/>
        <item x="52"/>
        <item x="106"/>
        <item x="25"/>
        <item x="32"/>
        <item x="62"/>
        <item x="88"/>
        <item x="22"/>
        <item x="75"/>
        <item x="40"/>
        <item x="101"/>
        <item x="29"/>
        <item x="71"/>
        <item x="20"/>
        <item x="65"/>
        <item x="23"/>
        <item x="64"/>
        <item x="104"/>
        <item x="96"/>
        <item x="47"/>
        <item x="60"/>
        <item x="94"/>
        <item x="86"/>
        <item x="82"/>
        <item x="83"/>
        <item x="28"/>
        <item x="11"/>
        <item x="14"/>
        <item x="78"/>
        <item x="17"/>
        <item x="67"/>
        <item x="19"/>
        <item x="97"/>
        <item x="95"/>
        <item x="102"/>
        <item x="58"/>
        <item x="107"/>
        <item x="45"/>
        <item x="76"/>
        <item x="99"/>
        <item x="18"/>
        <item x="27"/>
        <item x="66"/>
        <item x="59"/>
        <item x="55"/>
        <item x="49"/>
        <item x="69"/>
        <item x="13"/>
        <item x="48"/>
        <item x="5"/>
        <item x="51"/>
        <item x="103"/>
        <item x="50"/>
        <item x="53"/>
        <item x="85"/>
        <item x="4"/>
        <item x="80"/>
        <item x="39"/>
        <item x="92"/>
        <item x="70"/>
        <item x="77"/>
        <item x="38"/>
        <item x="98"/>
        <item x="7"/>
        <item x="93"/>
        <item x="100"/>
        <item x="33"/>
        <item x="109"/>
        <item x="2"/>
        <item x="72"/>
        <item x="9"/>
        <item x="42"/>
        <item x="3"/>
        <item x="36"/>
        <item x="74"/>
        <item x="8"/>
        <item x="68"/>
        <item x="44"/>
        <item x="37"/>
        <item x="46"/>
        <item x="110"/>
        <item x="73"/>
        <item x="90"/>
        <item x="43"/>
        <item x="63"/>
        <item x="91"/>
        <item x="34"/>
        <item x="0"/>
        <item x="1"/>
        <item x="35"/>
        <item t="default"/>
      </items>
    </pivotField>
  </pivotFields>
  <rowFields count="2">
    <field x="2"/>
    <field x="1"/>
  </rowFields>
  <rowItems count="9">
    <i>
      <x v="5"/>
    </i>
    <i>
      <x v="7"/>
    </i>
    <i>
      <x v="3"/>
    </i>
    <i>
      <x v="2"/>
    </i>
    <i>
      <x v="1"/>
    </i>
    <i>
      <x v="4"/>
    </i>
    <i>
      <x v="6"/>
    </i>
    <i>
      <x/>
    </i>
    <i t="grand">
      <x/>
    </i>
  </rowItems>
  <colItems count="1">
    <i/>
  </colItems>
  <dataFields count="1">
    <dataField name="Sum of net_amount" fld="8" baseField="0" baseItem="0" numFmtId="176"/>
  </dataFields>
  <formats count="9">
    <format dxfId="18">
      <pivotArea collapsedLevelsAreSubtotals="1" fieldPosition="0">
        <references count="2">
          <reference field="1" count="1" selected="0">
            <x v="0"/>
          </reference>
          <reference field="2" count="1" selected="0">
            <x v="5"/>
          </reference>
        </references>
      </pivotArea>
    </format>
    <format dxfId="19">
      <pivotArea collapsedLevelsAreSubtotals="1" fieldPosition="0">
        <references count="2">
          <reference field="1" count="1" selected="0">
            <x v="0"/>
          </reference>
          <reference field="2" count="1" selected="0">
            <x v="5"/>
          </reference>
        </references>
      </pivotArea>
    </format>
    <format dxfId="20">
      <pivotArea collapsedLevelsAreSubtotals="1" fieldPosition="0">
        <references count="2">
          <reference field="1" count="1" selected="0">
            <x v="0"/>
          </reference>
          <reference field="2" count="1" selected="0">
            <x v="5"/>
          </reference>
        </references>
      </pivotArea>
    </format>
    <format dxfId="21">
      <pivotArea collapsedLevelsAreSubtotals="1" fieldPosition="0"/>
    </format>
    <format dxfId="22">
      <pivotArea grandRow="1" collapsedLevelsAreSubtotals="1" fieldPosition="0"/>
    </format>
    <format dxfId="23">
      <pivotArea field="2" type="button" dataOnly="0" labelOnly="1" outline="0" fieldPosition="0"/>
    </format>
    <format dxfId="24">
      <pivotArea field="1" type="button" dataOnly="0" labelOnly="1" outline="0" fieldPosition="0"/>
    </format>
    <format dxfId="25">
      <pivotArea dataOnly="0" labelOnly="1" grandRow="1" fieldPosition="0"/>
    </format>
    <format dxfId="26">
      <pivotArea grandRow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5:F15" firstHeaderRow="1" firstDataRow="2" firstDataCol="1"/>
  <pivotFields count="9">
    <pivotField axis="axisCol" compact="0" sortType="descending" defaultSubtotal="0" multipleItemSelectionAllowed="1" showAll="0">
      <items count="5">
        <item x="2"/>
        <item x="3"/>
        <item x="1"/>
        <item x="0"/>
        <item h="1" x="4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efaultSubtotal="0" showAll="0"/>
    <pivotField axis="axisRow" compact="0" sortType="descending" defaultSubtotal="0" showAll="0">
      <items count="9">
        <item x="2"/>
        <item x="7"/>
        <item x="0"/>
        <item x="4"/>
        <item x="1"/>
        <item x="3"/>
        <item x="5"/>
        <item x="6"/>
        <item x="8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efaultSubtotal="0" showAll="0"/>
    <pivotField compact="0" defaultSubtotal="0" showAll="0"/>
    <pivotField compact="0" defaultSubtotal="0" showAll="0"/>
    <pivotField compact="0" defaultSubtotal="0" showAll="0"/>
    <pivotField compact="0" defaultSubtotal="0" showAll="0"/>
    <pivotField dataField="1" compact="0" defaultSubtotal="0" showAll="0">
      <items count="112">
        <item x="6"/>
        <item x="26"/>
        <item x="84"/>
        <item x="21"/>
        <item x="41"/>
        <item x="81"/>
        <item x="89"/>
        <item x="54"/>
        <item x="108"/>
        <item x="15"/>
        <item x="79"/>
        <item x="31"/>
        <item x="56"/>
        <item x="87"/>
        <item x="10"/>
        <item x="61"/>
        <item x="30"/>
        <item x="24"/>
        <item x="105"/>
        <item x="16"/>
        <item x="12"/>
        <item x="57"/>
        <item x="52"/>
        <item x="106"/>
        <item x="25"/>
        <item x="32"/>
        <item x="62"/>
        <item x="88"/>
        <item x="22"/>
        <item x="75"/>
        <item x="40"/>
        <item x="101"/>
        <item x="29"/>
        <item x="71"/>
        <item x="20"/>
        <item x="65"/>
        <item x="23"/>
        <item x="64"/>
        <item x="104"/>
        <item x="96"/>
        <item x="47"/>
        <item x="60"/>
        <item x="94"/>
        <item x="86"/>
        <item x="82"/>
        <item x="83"/>
        <item x="28"/>
        <item x="11"/>
        <item x="14"/>
        <item x="78"/>
        <item x="17"/>
        <item x="67"/>
        <item x="19"/>
        <item x="97"/>
        <item x="95"/>
        <item x="102"/>
        <item x="58"/>
        <item x="107"/>
        <item x="45"/>
        <item x="76"/>
        <item x="99"/>
        <item x="18"/>
        <item x="27"/>
        <item x="66"/>
        <item x="59"/>
        <item x="55"/>
        <item x="49"/>
        <item x="69"/>
        <item x="13"/>
        <item x="48"/>
        <item x="5"/>
        <item x="51"/>
        <item x="103"/>
        <item x="50"/>
        <item x="53"/>
        <item x="85"/>
        <item x="4"/>
        <item x="80"/>
        <item x="39"/>
        <item x="92"/>
        <item x="70"/>
        <item x="77"/>
        <item x="38"/>
        <item x="98"/>
        <item x="7"/>
        <item x="93"/>
        <item x="100"/>
        <item x="33"/>
        <item x="109"/>
        <item x="2"/>
        <item x="72"/>
        <item x="9"/>
        <item x="42"/>
        <item x="3"/>
        <item x="36"/>
        <item x="74"/>
        <item x="8"/>
        <item x="68"/>
        <item x="44"/>
        <item x="37"/>
        <item x="46"/>
        <item x="110"/>
        <item x="73"/>
        <item x="90"/>
        <item x="43"/>
        <item x="63"/>
        <item x="91"/>
        <item x="34"/>
        <item x="0"/>
        <item x="1"/>
        <item x="35"/>
        <item x="111"/>
      </items>
    </pivotField>
  </pivotFields>
  <rowFields count="1">
    <field x="2"/>
  </rowFields>
  <rowItems count="9">
    <i>
      <x v="2"/>
    </i>
    <i>
      <x/>
    </i>
    <i>
      <x v="4"/>
    </i>
    <i>
      <x v="5"/>
    </i>
    <i>
      <x v="6"/>
    </i>
    <i>
      <x v="3"/>
    </i>
    <i>
      <x v="1"/>
    </i>
    <i>
      <x v="7"/>
    </i>
    <i t="grand">
      <x/>
    </i>
  </rowItems>
  <colFields count="1">
    <field x="0"/>
  </colFields>
  <colItems count="5">
    <i>
      <x v="2"/>
    </i>
    <i>
      <x v="3"/>
    </i>
    <i>
      <x v="1"/>
    </i>
    <i>
      <x/>
    </i>
    <i t="grand">
      <x/>
    </i>
  </colItems>
  <dataFields count="1">
    <dataField name="Revenue ( e )" fld="8" baseField="0" baseItem="0" numFmtId="176"/>
  </dataFields>
  <formats count="45">
    <format dxfId="27">
      <pivotArea type="all" dataOnly="0" outline="0" fieldPosition="0"/>
    </format>
    <format dxfId="28">
      <pivotArea field="2" type="button" dataOnly="0" labelOnly="1" outline="0" fieldPosition="0"/>
    </format>
    <format dxfId="29">
      <pivotArea field="2" type="button" dataOnly="0" labelOnly="1" outline="0" fieldPosition="0"/>
    </format>
    <format dxfId="30">
      <pivotArea field="2" type="button" dataOnly="0" labelOnly="1" outline="0" fieldPosition="0"/>
    </format>
    <format dxfId="31">
      <pivotArea field="2" type="button" dataOnly="0" labelOnly="1" outline="0" fieldPosition="0"/>
    </format>
    <format dxfId="32">
      <pivotArea collapsedLevelsAreSubtotals="1" fieldPosition="0"/>
    </format>
    <format dxfId="33">
      <pivotArea grandRow="1" collapsedLevelsAreSubtotals="1" fieldPosition="0"/>
    </format>
    <format dxfId="34">
      <pivotArea field="0" type="button" dataOnly="0" labelOnly="1" outline="0" fieldPosition="0"/>
    </format>
    <format dxfId="35">
      <pivotArea dataOnly="0" labelOnly="1" fieldPosition="0">
        <references count="1">
          <reference field="2" count="1">
            <x v="2"/>
          </reference>
        </references>
      </pivotArea>
    </format>
    <format dxfId="36">
      <pivotArea dataOnly="0" labelOnly="1" fieldPosition="0">
        <references count="1">
          <reference field="2" count="1">
            <x v="0"/>
          </reference>
        </references>
      </pivotArea>
    </format>
    <format dxfId="37">
      <pivotArea dataOnly="0" labelOnly="1" fieldPosition="0">
        <references count="1">
          <reference field="2" count="1">
            <x v="4"/>
          </reference>
        </references>
      </pivotArea>
    </format>
    <format dxfId="38">
      <pivotArea dataOnly="0" labelOnly="1" fieldPosition="0">
        <references count="1">
          <reference field="2" count="1">
            <x v="5"/>
          </reference>
        </references>
      </pivotArea>
    </format>
    <format dxfId="39">
      <pivotArea dataOnly="0" labelOnly="1" fieldPosition="0">
        <references count="1">
          <reference field="2" count="1">
            <x v="6"/>
          </reference>
        </references>
      </pivotArea>
    </format>
    <format dxfId="40">
      <pivotArea dataOnly="0" labelOnly="1" fieldPosition="0">
        <references count="1">
          <reference field="2" count="1">
            <x v="3"/>
          </reference>
        </references>
      </pivotArea>
    </format>
    <format dxfId="41">
      <pivotArea dataOnly="0" labelOnly="1" fieldPosition="0">
        <references count="1">
          <reference field="2" count="1">
            <x v="1"/>
          </reference>
        </references>
      </pivotArea>
    </format>
    <format dxfId="42">
      <pivotArea dataOnly="0" labelOnly="1" fieldPosition="0">
        <references count="1">
          <reference field="2" count="1">
            <x v="7"/>
          </reference>
        </references>
      </pivotArea>
    </format>
    <format dxfId="43">
      <pivotArea dataOnly="0" labelOnly="1" grandCol="1" fieldPosition="0"/>
    </format>
    <format dxfId="44">
      <pivotArea dataOnly="0" labelOnly="1" grandRow="1" fieldPosition="0"/>
    </format>
    <format dxfId="45">
      <pivotArea grandRow="1" collapsedLevelsAreSubtotals="1" fieldPosition="0"/>
    </format>
    <format dxfId="46">
      <pivotArea dataOnly="0" labelOnly="1" grandRow="1" fieldPosition="0"/>
    </format>
    <format dxfId="47">
      <pivotArea grandRow="1" collapsedLevelsAreSubtotals="1" fieldPosition="0"/>
    </format>
    <format dxfId="48">
      <pivotArea dataOnly="0" labelOnly="1" grandRow="1" fieldPosition="0"/>
    </format>
    <format dxfId="49">
      <pivotArea grandRow="1" collapsedLevelsAreSubtotals="1" fieldPosition="0"/>
    </format>
    <format dxfId="50">
      <pivotArea field="2" type="button" dataOnly="0" labelOnly="1" outline="0" fieldPosition="0"/>
    </format>
    <format dxfId="51">
      <pivotArea dataOnly="0" labelOnly="1" fieldPosition="0">
        <references count="1">
          <reference field="0" count="1">
            <x v="2"/>
          </reference>
        </references>
      </pivotArea>
    </format>
    <format dxfId="52">
      <pivotArea dataOnly="0" labelOnly="1" fieldPosition="0">
        <references count="1">
          <reference field="0" count="1">
            <x v="3"/>
          </reference>
        </references>
      </pivotArea>
    </format>
    <format dxfId="53">
      <pivotArea dataOnly="0" labelOnly="1" fieldPosition="0">
        <references count="1">
          <reference field="0" count="1">
            <x v="1"/>
          </reference>
        </references>
      </pivotArea>
    </format>
    <format dxfId="54">
      <pivotArea dataOnly="0" labelOnly="1" fieldPosition="0">
        <references count="1">
          <reference field="0" count="1">
            <x v="0"/>
          </reference>
        </references>
      </pivotArea>
    </format>
    <format dxfId="55">
      <pivotArea dataOnly="0" labelOnly="1" grandCol="1" fieldPosition="0"/>
    </format>
    <format dxfId="56">
      <pivotArea dataOnly="0" labelOnly="1" grandRow="1" fieldPosition="0"/>
    </format>
    <format dxfId="57">
      <pivotArea grandRow="1" collapsedLevelsAreSubtotals="1" fieldPosition="0"/>
    </format>
    <format dxfId="58">
      <pivotArea dataOnly="0" labelOnly="1" grandRow="1" fieldPosition="0"/>
    </format>
    <format dxfId="59">
      <pivotArea grandRow="1" collapsedLevelsAreSubtotals="1" fieldPosition="0"/>
    </format>
    <format dxfId="60">
      <pivotArea dataOnly="0" labelOnly="1" grandRow="1" fieldPosition="0"/>
    </format>
    <format dxfId="61">
      <pivotArea grandRow="1" collapsedLevelsAreSubtotals="1" fieldPosition="0"/>
    </format>
    <format dxfId="62">
      <pivotArea dataOnly="0" labelOnly="1" grandRow="1" fieldPosition="0"/>
    </format>
    <format dxfId="63">
      <pivotArea grandRow="1" collapsedLevelsAreSubtotals="1" fieldPosition="0"/>
    </format>
    <format dxfId="64">
      <pivotArea dataOnly="0" labelOnly="1" grandRow="1" fieldPosition="0"/>
    </format>
    <format dxfId="65">
      <pivotArea grandRow="1" collapsedLevelsAreSubtotals="1" fieldPosition="0"/>
    </format>
    <format dxfId="66">
      <pivotArea dataOnly="0" labelOnly="1" grandRow="1" fieldPosition="0"/>
    </format>
    <format dxfId="67">
      <pivotArea grandRow="1" collapsedLevelsAreSubtotals="1" fieldPosition="0"/>
    </format>
    <format dxfId="68">
      <pivotArea dataOnly="0" labelOnly="1" fieldPosition="0">
        <references count="1">
          <reference field="2" count="1">
            <x v="7"/>
          </reference>
        </references>
      </pivotArea>
    </format>
    <format dxfId="69">
      <pivotArea collapsedLevelsAreSubtotals="1" fieldPosition="0">
        <references count="1">
          <reference field="2" count="1" selected="0">
            <x v="7"/>
          </reference>
        </references>
      </pivotArea>
    </format>
    <format dxfId="70">
      <pivotArea dataOnly="0" labelOnly="1" fieldPosition="0">
        <references count="1">
          <reference field="2" count="1">
            <x v="7"/>
          </reference>
        </references>
      </pivotArea>
    </format>
    <format dxfId="71">
      <pivotArea collapsedLevelsAreSubtotals="1" fieldPosition="0">
        <references count="1">
          <reference field="2" count="1" selected="0">
            <x v="7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9" firstHeaderRow="1" firstDataRow="1" firstDataCol="2"/>
  <pivotFields count="9">
    <pivotField compact="0" showAll="0">
      <items count="6">
        <item x="2"/>
        <item x="3"/>
        <item x="1"/>
        <item x="0"/>
        <item x="4"/>
        <item t="default"/>
      </items>
    </pivotField>
    <pivotField axis="axisRow" measureFilter="1" compact="0" sortType="descending" showAll="0">
      <items count="51">
        <item x="15"/>
        <item x="19"/>
        <item x="9"/>
        <item x="28"/>
        <item x="21"/>
        <item x="27"/>
        <item x="3"/>
        <item x="46"/>
        <item x="23"/>
        <item x="41"/>
        <item x="29"/>
        <item x="39"/>
        <item x="45"/>
        <item x="30"/>
        <item x="8"/>
        <item x="18"/>
        <item x="48"/>
        <item x="17"/>
        <item x="12"/>
        <item x="25"/>
        <item x="34"/>
        <item x="35"/>
        <item x="47"/>
        <item x="37"/>
        <item x="32"/>
        <item x="33"/>
        <item x="36"/>
        <item x="26"/>
        <item x="24"/>
        <item x="14"/>
        <item x="44"/>
        <item x="40"/>
        <item x="42"/>
        <item x="43"/>
        <item x="2"/>
        <item x="5"/>
        <item x="38"/>
        <item x="22"/>
        <item x="1"/>
        <item x="20"/>
        <item x="11"/>
        <item x="10"/>
        <item x="7"/>
        <item x="13"/>
        <item x="6"/>
        <item x="4"/>
        <item x="31"/>
        <item x="16"/>
        <item x="0"/>
        <item x="49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measureFilter="1" compact="0" sortType="descending" showAll="0">
      <items count="10">
        <item sd="0" x="2"/>
        <item x="7"/>
        <item sd="0" x="0"/>
        <item x="4"/>
        <item sd="0" x="1"/>
        <item sd="0" x="3"/>
        <item sd="0" x="5"/>
        <item x="6"/>
        <item x="8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13">
        <item x="6"/>
        <item x="26"/>
        <item x="84"/>
        <item x="21"/>
        <item x="41"/>
        <item x="81"/>
        <item x="89"/>
        <item x="54"/>
        <item x="108"/>
        <item x="15"/>
        <item x="79"/>
        <item x="31"/>
        <item x="56"/>
        <item x="87"/>
        <item x="10"/>
        <item x="61"/>
        <item x="30"/>
        <item x="24"/>
        <item x="105"/>
        <item x="16"/>
        <item x="12"/>
        <item x="57"/>
        <item x="52"/>
        <item x="106"/>
        <item x="25"/>
        <item x="32"/>
        <item x="62"/>
        <item x="88"/>
        <item x="22"/>
        <item x="75"/>
        <item x="40"/>
        <item x="101"/>
        <item x="29"/>
        <item x="71"/>
        <item x="20"/>
        <item x="65"/>
        <item x="23"/>
        <item x="64"/>
        <item x="104"/>
        <item x="96"/>
        <item x="47"/>
        <item x="60"/>
        <item x="94"/>
        <item x="86"/>
        <item x="82"/>
        <item x="83"/>
        <item x="28"/>
        <item x="11"/>
        <item x="14"/>
        <item x="78"/>
        <item x="17"/>
        <item x="67"/>
        <item x="19"/>
        <item x="97"/>
        <item x="95"/>
        <item x="102"/>
        <item x="58"/>
        <item x="107"/>
        <item x="45"/>
        <item x="76"/>
        <item x="99"/>
        <item x="18"/>
        <item x="27"/>
        <item x="66"/>
        <item x="59"/>
        <item x="55"/>
        <item x="49"/>
        <item x="69"/>
        <item x="13"/>
        <item x="48"/>
        <item x="5"/>
        <item x="51"/>
        <item x="103"/>
        <item x="50"/>
        <item x="53"/>
        <item x="85"/>
        <item x="4"/>
        <item x="80"/>
        <item x="39"/>
        <item x="92"/>
        <item x="70"/>
        <item x="77"/>
        <item x="38"/>
        <item x="98"/>
        <item x="7"/>
        <item x="93"/>
        <item x="100"/>
        <item x="33"/>
        <item x="109"/>
        <item x="2"/>
        <item x="72"/>
        <item x="9"/>
        <item x="42"/>
        <item x="3"/>
        <item x="36"/>
        <item x="74"/>
        <item x="8"/>
        <item x="68"/>
        <item x="44"/>
        <item x="37"/>
        <item x="46"/>
        <item x="110"/>
        <item x="73"/>
        <item x="90"/>
        <item x="43"/>
        <item x="63"/>
        <item x="91"/>
        <item x="34"/>
        <item x="0"/>
        <item x="1"/>
        <item x="35"/>
        <item x="111"/>
        <item t="default"/>
      </items>
    </pivotField>
  </pivotFields>
  <rowFields count="2">
    <field x="2"/>
    <field x="1"/>
  </rowFields>
  <rowItems count="6">
    <i>
      <x v="2"/>
    </i>
    <i>
      <x/>
    </i>
    <i>
      <x v="4"/>
    </i>
    <i>
      <x v="5"/>
    </i>
    <i>
      <x v="6"/>
    </i>
    <i t="grand">
      <x/>
    </i>
  </rowItems>
  <colItems count="1">
    <i/>
  </colItems>
  <dataFields count="1">
    <dataField name="Sum of net_amount" fld="8" baseField="0" baseItem="0" numFmtId="176"/>
  </dataFields>
  <pivotTableStyleInfo name="PivotStyleLight16" showRowHeaders="1" showColHeaders="1" showLastColumn="1"/>
  <filters count="2">
    <filter evalOrder="-1" fld="1" iMeasureFld="0" id="1" type="count">
      <autoFilter ref="A1">
        <filterColumn colId="0">
          <top10 filterVal="5" val="5"/>
        </filterColumn>
      </autoFilter>
    </filter>
    <filter evalOrder="-1" fld="2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138" totalsRowShown="0">
  <autoFilter ref="A1:I138"/>
  <tableColumns count="9">
    <tableColumn id="1" name="employee_name"/>
    <tableColumn id="2" name="service_name"/>
    <tableColumn id="3" name="category"/>
    <tableColumn id="4" name="hours"/>
    <tableColumn id="5" name="quantity"/>
    <tableColumn id="6" name="gross_amount"/>
    <tableColumn id="7" name="revenue_per_hour"/>
    <tableColumn id="8" name="discount"/>
    <tableColumn id="9" name="net_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8"/>
  <sheetViews>
    <sheetView workbookViewId="0">
      <selection activeCell="K6" sqref="K6"/>
    </sheetView>
  </sheetViews>
  <sheetFormatPr defaultColWidth="9" defaultRowHeight="14"/>
  <cols>
    <col min="1" max="1" width="15" customWidth="1"/>
    <col min="2" max="2" width="28" customWidth="1"/>
    <col min="3" max="3" width="20" customWidth="1"/>
    <col min="4" max="5" width="12" customWidth="1"/>
    <col min="6" max="6" width="14" customWidth="1"/>
    <col min="7" max="7" width="18" customWidth="1"/>
    <col min="8" max="9" width="12" customWidth="1"/>
  </cols>
  <sheetData>
    <row r="1" spans="1:9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</row>
    <row r="2" spans="1:9">
      <c r="A2" t="s">
        <v>9</v>
      </c>
      <c r="B2" t="s">
        <v>10</v>
      </c>
      <c r="C2" t="s">
        <v>11</v>
      </c>
      <c r="D2">
        <v>232.5</v>
      </c>
      <c r="E2">
        <v>465</v>
      </c>
      <c r="F2">
        <v>8149</v>
      </c>
      <c r="G2">
        <v>33.97</v>
      </c>
      <c r="H2">
        <v>250</v>
      </c>
      <c r="I2">
        <v>7899</v>
      </c>
    </row>
    <row r="3" spans="1:9">
      <c r="A3" t="s">
        <v>9</v>
      </c>
      <c r="B3" t="s">
        <v>12</v>
      </c>
      <c r="C3" t="s">
        <v>11</v>
      </c>
      <c r="D3">
        <v>377.5</v>
      </c>
      <c r="E3">
        <v>755</v>
      </c>
      <c r="F3">
        <v>8752.5</v>
      </c>
      <c r="G3">
        <v>21.73</v>
      </c>
      <c r="H3">
        <v>550</v>
      </c>
      <c r="I3">
        <v>8202.5</v>
      </c>
    </row>
    <row r="4" spans="1:9">
      <c r="A4" t="s">
        <v>9</v>
      </c>
      <c r="B4" t="s">
        <v>13</v>
      </c>
      <c r="C4" t="s">
        <v>11</v>
      </c>
      <c r="D4">
        <v>32</v>
      </c>
      <c r="E4">
        <v>128</v>
      </c>
      <c r="F4">
        <v>1305</v>
      </c>
      <c r="G4">
        <v>36.75</v>
      </c>
      <c r="H4">
        <v>129</v>
      </c>
      <c r="I4">
        <v>1176</v>
      </c>
    </row>
    <row r="5" spans="1:9">
      <c r="A5" t="s">
        <v>9</v>
      </c>
      <c r="B5" t="s">
        <v>14</v>
      </c>
      <c r="C5" t="s">
        <v>15</v>
      </c>
      <c r="D5">
        <v>74</v>
      </c>
      <c r="E5">
        <v>148</v>
      </c>
      <c r="F5">
        <v>1906</v>
      </c>
      <c r="G5">
        <v>20.35</v>
      </c>
      <c r="H5">
        <v>400</v>
      </c>
      <c r="I5">
        <v>1506</v>
      </c>
    </row>
    <row r="6" spans="1:9">
      <c r="A6" t="s">
        <v>9</v>
      </c>
      <c r="B6" t="s">
        <v>15</v>
      </c>
      <c r="C6" t="s">
        <v>15</v>
      </c>
      <c r="D6">
        <v>18.75</v>
      </c>
      <c r="E6">
        <v>75</v>
      </c>
      <c r="F6">
        <v>646</v>
      </c>
      <c r="G6">
        <v>25.33</v>
      </c>
      <c r="H6">
        <v>171</v>
      </c>
      <c r="I6">
        <v>475</v>
      </c>
    </row>
    <row r="7" spans="1:9">
      <c r="A7" t="s">
        <v>9</v>
      </c>
      <c r="B7" t="s">
        <v>16</v>
      </c>
      <c r="C7" t="s">
        <v>15</v>
      </c>
      <c r="D7">
        <v>12.75</v>
      </c>
      <c r="E7">
        <v>17</v>
      </c>
      <c r="F7">
        <v>375</v>
      </c>
      <c r="G7">
        <v>27.45</v>
      </c>
      <c r="H7">
        <v>25</v>
      </c>
      <c r="I7">
        <v>350</v>
      </c>
    </row>
    <row r="8" spans="1:9">
      <c r="A8" t="s">
        <v>9</v>
      </c>
      <c r="B8" t="s">
        <v>17</v>
      </c>
      <c r="C8" t="s">
        <v>15</v>
      </c>
      <c r="D8">
        <v>0.75</v>
      </c>
      <c r="E8">
        <v>1</v>
      </c>
      <c r="F8">
        <v>20</v>
      </c>
      <c r="G8" t="s">
        <v>18</v>
      </c>
      <c r="H8">
        <v>20</v>
      </c>
      <c r="I8">
        <v>0</v>
      </c>
    </row>
    <row r="9" spans="1:9">
      <c r="A9" t="s">
        <v>9</v>
      </c>
      <c r="B9" t="s">
        <v>19</v>
      </c>
      <c r="C9" t="s">
        <v>20</v>
      </c>
      <c r="D9">
        <v>11.5</v>
      </c>
      <c r="E9">
        <v>23</v>
      </c>
      <c r="F9">
        <v>695</v>
      </c>
      <c r="G9">
        <v>57.57</v>
      </c>
      <c r="H9">
        <v>33</v>
      </c>
      <c r="I9">
        <v>662</v>
      </c>
    </row>
    <row r="10" spans="1:9">
      <c r="A10" t="s">
        <v>9</v>
      </c>
      <c r="B10" t="s">
        <v>21</v>
      </c>
      <c r="C10" t="s">
        <v>20</v>
      </c>
      <c r="D10">
        <v>17.5</v>
      </c>
      <c r="E10">
        <v>35</v>
      </c>
      <c r="F10">
        <v>1695</v>
      </c>
      <c r="G10">
        <v>93.2</v>
      </c>
      <c r="H10">
        <v>64</v>
      </c>
      <c r="I10">
        <v>1631</v>
      </c>
    </row>
    <row r="11" spans="1:9">
      <c r="A11" t="s">
        <v>9</v>
      </c>
      <c r="B11" t="s">
        <v>22</v>
      </c>
      <c r="C11" t="s">
        <v>23</v>
      </c>
      <c r="D11">
        <v>5.25</v>
      </c>
      <c r="E11">
        <v>3</v>
      </c>
      <c r="F11">
        <v>0</v>
      </c>
      <c r="G11" t="s">
        <v>18</v>
      </c>
      <c r="H11">
        <v>0</v>
      </c>
      <c r="I11">
        <v>0</v>
      </c>
    </row>
    <row r="12" spans="1:9">
      <c r="A12" t="s">
        <v>9</v>
      </c>
      <c r="B12" t="s">
        <v>24</v>
      </c>
      <c r="C12" t="s">
        <v>24</v>
      </c>
      <c r="D12">
        <v>27.5</v>
      </c>
      <c r="E12">
        <v>55</v>
      </c>
      <c r="F12">
        <v>1513</v>
      </c>
      <c r="G12">
        <v>52.73</v>
      </c>
      <c r="H12">
        <v>63</v>
      </c>
      <c r="I12">
        <v>1450</v>
      </c>
    </row>
    <row r="13" spans="1:9">
      <c r="A13" t="s">
        <v>9</v>
      </c>
      <c r="B13" t="s">
        <v>25</v>
      </c>
      <c r="C13" t="s">
        <v>26</v>
      </c>
      <c r="D13">
        <v>0.75</v>
      </c>
      <c r="E13">
        <v>1</v>
      </c>
      <c r="F13">
        <v>40</v>
      </c>
      <c r="G13">
        <v>53.33</v>
      </c>
      <c r="H13">
        <v>0</v>
      </c>
      <c r="I13">
        <v>40</v>
      </c>
    </row>
    <row r="14" spans="1:9">
      <c r="A14" t="s">
        <v>9</v>
      </c>
      <c r="B14" t="s">
        <v>27</v>
      </c>
      <c r="C14" t="s">
        <v>20</v>
      </c>
      <c r="D14">
        <v>2.5</v>
      </c>
      <c r="E14">
        <v>5</v>
      </c>
      <c r="F14">
        <v>175</v>
      </c>
      <c r="G14">
        <v>70</v>
      </c>
      <c r="H14">
        <v>0</v>
      </c>
      <c r="I14">
        <v>175</v>
      </c>
    </row>
    <row r="15" spans="1:9">
      <c r="A15" t="s">
        <v>9</v>
      </c>
      <c r="B15" t="s">
        <v>28</v>
      </c>
      <c r="C15" t="s">
        <v>26</v>
      </c>
      <c r="D15">
        <v>16.5</v>
      </c>
      <c r="E15">
        <v>66</v>
      </c>
      <c r="F15">
        <v>83</v>
      </c>
      <c r="G15">
        <v>3.21</v>
      </c>
      <c r="H15">
        <v>30</v>
      </c>
      <c r="I15">
        <v>53</v>
      </c>
    </row>
    <row r="16" spans="1:9">
      <c r="A16" t="s">
        <v>9</v>
      </c>
      <c r="B16" t="s">
        <v>29</v>
      </c>
      <c r="C16" t="s">
        <v>26</v>
      </c>
      <c r="D16">
        <v>14</v>
      </c>
      <c r="E16">
        <v>56</v>
      </c>
      <c r="F16">
        <v>342</v>
      </c>
      <c r="G16">
        <v>23.36</v>
      </c>
      <c r="H16">
        <v>15</v>
      </c>
      <c r="I16">
        <v>327</v>
      </c>
    </row>
    <row r="17" spans="1:9">
      <c r="A17" t="s">
        <v>9</v>
      </c>
      <c r="B17" t="s">
        <v>30</v>
      </c>
      <c r="C17" t="s">
        <v>15</v>
      </c>
      <c r="D17">
        <v>21</v>
      </c>
      <c r="E17">
        <v>14</v>
      </c>
      <c r="F17">
        <v>0</v>
      </c>
      <c r="G17" t="s">
        <v>18</v>
      </c>
      <c r="H17">
        <v>0</v>
      </c>
      <c r="I17">
        <v>0</v>
      </c>
    </row>
    <row r="18" spans="1:9">
      <c r="A18" t="s">
        <v>9</v>
      </c>
      <c r="B18" t="s">
        <v>31</v>
      </c>
      <c r="C18" t="s">
        <v>32</v>
      </c>
      <c r="D18">
        <v>0.25</v>
      </c>
      <c r="E18">
        <v>1</v>
      </c>
      <c r="F18">
        <v>0</v>
      </c>
      <c r="G18" t="s">
        <v>18</v>
      </c>
      <c r="H18">
        <v>0</v>
      </c>
      <c r="I18">
        <v>0</v>
      </c>
    </row>
    <row r="19" spans="1:9">
      <c r="A19" t="s">
        <v>9</v>
      </c>
      <c r="B19" t="s">
        <v>33</v>
      </c>
      <c r="C19" t="s">
        <v>20</v>
      </c>
      <c r="D19">
        <v>3</v>
      </c>
      <c r="E19">
        <v>4</v>
      </c>
      <c r="F19">
        <v>185</v>
      </c>
      <c r="G19">
        <v>59</v>
      </c>
      <c r="H19">
        <v>8</v>
      </c>
      <c r="I19">
        <v>177</v>
      </c>
    </row>
    <row r="20" spans="1:9">
      <c r="A20" t="s">
        <v>9</v>
      </c>
      <c r="B20" t="s">
        <v>34</v>
      </c>
      <c r="C20" t="s">
        <v>20</v>
      </c>
      <c r="D20">
        <v>0.5</v>
      </c>
      <c r="E20">
        <v>1</v>
      </c>
      <c r="F20">
        <v>25</v>
      </c>
      <c r="G20">
        <v>40</v>
      </c>
      <c r="H20">
        <v>5</v>
      </c>
      <c r="I20">
        <v>20</v>
      </c>
    </row>
    <row r="21" spans="1:9">
      <c r="A21" t="s">
        <v>9</v>
      </c>
      <c r="B21" t="s">
        <v>35</v>
      </c>
      <c r="C21" t="s">
        <v>23</v>
      </c>
      <c r="D21">
        <v>20</v>
      </c>
      <c r="E21">
        <v>10</v>
      </c>
      <c r="F21">
        <v>60</v>
      </c>
      <c r="G21">
        <v>2.5</v>
      </c>
      <c r="H21">
        <v>10</v>
      </c>
      <c r="I21">
        <v>50</v>
      </c>
    </row>
    <row r="22" spans="1:9">
      <c r="A22" t="s">
        <v>9</v>
      </c>
      <c r="B22" t="s">
        <v>36</v>
      </c>
      <c r="C22" t="s">
        <v>26</v>
      </c>
      <c r="D22">
        <v>2.75</v>
      </c>
      <c r="E22">
        <v>11</v>
      </c>
      <c r="F22">
        <v>185</v>
      </c>
      <c r="G22">
        <v>65.45</v>
      </c>
      <c r="H22">
        <v>5</v>
      </c>
      <c r="I22">
        <v>180</v>
      </c>
    </row>
    <row r="23" spans="1:9">
      <c r="A23" t="s">
        <v>9</v>
      </c>
      <c r="B23" t="s">
        <v>37</v>
      </c>
      <c r="C23" t="s">
        <v>11</v>
      </c>
      <c r="D23">
        <v>52.25</v>
      </c>
      <c r="E23">
        <v>209</v>
      </c>
      <c r="F23">
        <v>629</v>
      </c>
      <c r="G23">
        <v>5.13</v>
      </c>
      <c r="H23">
        <v>361</v>
      </c>
      <c r="I23">
        <v>268</v>
      </c>
    </row>
    <row r="24" spans="1:9">
      <c r="A24" t="s">
        <v>9</v>
      </c>
      <c r="B24" t="s">
        <v>38</v>
      </c>
      <c r="C24" t="s">
        <v>26</v>
      </c>
      <c r="D24">
        <v>29.5</v>
      </c>
      <c r="E24">
        <v>118</v>
      </c>
      <c r="F24">
        <v>446</v>
      </c>
      <c r="G24">
        <v>6.58</v>
      </c>
      <c r="H24">
        <v>252</v>
      </c>
      <c r="I24">
        <v>194</v>
      </c>
    </row>
    <row r="25" spans="1:9">
      <c r="A25" t="s">
        <v>9</v>
      </c>
      <c r="B25" t="s">
        <v>39</v>
      </c>
      <c r="C25" t="s">
        <v>15</v>
      </c>
      <c r="D25">
        <v>4.5</v>
      </c>
      <c r="E25">
        <v>9</v>
      </c>
      <c r="F25">
        <v>105</v>
      </c>
      <c r="G25">
        <v>22.89</v>
      </c>
      <c r="H25">
        <v>2</v>
      </c>
      <c r="I25">
        <v>103</v>
      </c>
    </row>
    <row r="26" spans="1:9">
      <c r="A26" t="s">
        <v>9</v>
      </c>
      <c r="B26" t="s">
        <v>40</v>
      </c>
      <c r="C26" t="s">
        <v>26</v>
      </c>
      <c r="D26">
        <v>0.5</v>
      </c>
      <c r="E26">
        <v>2</v>
      </c>
      <c r="F26">
        <v>7</v>
      </c>
      <c r="G26">
        <v>14</v>
      </c>
      <c r="H26">
        <v>0</v>
      </c>
      <c r="I26">
        <v>7</v>
      </c>
    </row>
    <row r="27" spans="1:9">
      <c r="A27" t="s">
        <v>9</v>
      </c>
      <c r="B27" t="s">
        <v>41</v>
      </c>
      <c r="C27" t="s">
        <v>26</v>
      </c>
      <c r="D27">
        <v>1.5</v>
      </c>
      <c r="E27">
        <v>3</v>
      </c>
      <c r="F27">
        <v>80</v>
      </c>
      <c r="G27">
        <v>50</v>
      </c>
      <c r="H27">
        <v>5</v>
      </c>
      <c r="I27">
        <v>75</v>
      </c>
    </row>
    <row r="28" spans="1:9">
      <c r="A28" t="s">
        <v>9</v>
      </c>
      <c r="B28" t="s">
        <v>42</v>
      </c>
      <c r="C28" t="s">
        <v>26</v>
      </c>
      <c r="D28">
        <v>2.5</v>
      </c>
      <c r="E28">
        <v>5</v>
      </c>
      <c r="F28">
        <v>150</v>
      </c>
      <c r="G28">
        <v>42</v>
      </c>
      <c r="H28">
        <v>45</v>
      </c>
      <c r="I28">
        <v>105</v>
      </c>
    </row>
    <row r="29" spans="1:9">
      <c r="A29" t="s">
        <v>9</v>
      </c>
      <c r="B29" t="s">
        <v>43</v>
      </c>
      <c r="C29" t="s">
        <v>23</v>
      </c>
      <c r="D29">
        <v>0.75</v>
      </c>
      <c r="E29">
        <v>1</v>
      </c>
      <c r="F29">
        <v>50</v>
      </c>
      <c r="G29">
        <v>66.67</v>
      </c>
      <c r="H29">
        <v>0</v>
      </c>
      <c r="I29">
        <v>50</v>
      </c>
    </row>
    <row r="30" spans="1:9">
      <c r="A30" t="s">
        <v>9</v>
      </c>
      <c r="B30" t="s">
        <v>44</v>
      </c>
      <c r="C30" t="s">
        <v>11</v>
      </c>
      <c r="D30">
        <v>3.75</v>
      </c>
      <c r="E30">
        <v>15</v>
      </c>
      <c r="F30">
        <v>75</v>
      </c>
      <c r="G30">
        <v>12</v>
      </c>
      <c r="H30">
        <v>30</v>
      </c>
      <c r="I30">
        <v>45</v>
      </c>
    </row>
    <row r="31" spans="1:9">
      <c r="A31" t="s">
        <v>9</v>
      </c>
      <c r="B31" t="s">
        <v>45</v>
      </c>
      <c r="C31" t="s">
        <v>20</v>
      </c>
      <c r="D31">
        <v>0.75</v>
      </c>
      <c r="E31">
        <v>3</v>
      </c>
      <c r="F31">
        <v>70</v>
      </c>
      <c r="G31">
        <v>93.33</v>
      </c>
      <c r="H31">
        <v>0</v>
      </c>
      <c r="I31">
        <v>70</v>
      </c>
    </row>
    <row r="32" spans="1:9">
      <c r="A32" t="s">
        <v>9</v>
      </c>
      <c r="B32" t="s">
        <v>46</v>
      </c>
      <c r="C32" t="s">
        <v>20</v>
      </c>
      <c r="D32">
        <v>1.5</v>
      </c>
      <c r="E32">
        <v>6</v>
      </c>
      <c r="F32">
        <v>30</v>
      </c>
      <c r="G32">
        <v>3.33</v>
      </c>
      <c r="H32">
        <v>25</v>
      </c>
      <c r="I32">
        <v>5</v>
      </c>
    </row>
    <row r="33" spans="1:9">
      <c r="A33" t="s">
        <v>9</v>
      </c>
      <c r="B33" t="s">
        <v>47</v>
      </c>
      <c r="C33" t="s">
        <v>23</v>
      </c>
      <c r="D33">
        <v>4.5</v>
      </c>
      <c r="E33">
        <v>3</v>
      </c>
      <c r="F33">
        <v>270</v>
      </c>
      <c r="G33">
        <v>60</v>
      </c>
      <c r="H33">
        <v>0</v>
      </c>
      <c r="I33">
        <v>270</v>
      </c>
    </row>
    <row r="34" spans="1:9">
      <c r="A34" t="s">
        <v>9</v>
      </c>
      <c r="B34" t="s">
        <v>48</v>
      </c>
      <c r="C34" t="s">
        <v>26</v>
      </c>
      <c r="D34">
        <v>3.25</v>
      </c>
      <c r="E34">
        <v>13</v>
      </c>
      <c r="F34">
        <v>169</v>
      </c>
      <c r="G34">
        <v>52</v>
      </c>
      <c r="H34">
        <v>0</v>
      </c>
      <c r="I34">
        <v>169</v>
      </c>
    </row>
    <row r="35" spans="1:9">
      <c r="A35" t="s">
        <v>9</v>
      </c>
      <c r="B35" t="s">
        <v>49</v>
      </c>
      <c r="C35" t="s">
        <v>26</v>
      </c>
      <c r="D35">
        <v>1.75</v>
      </c>
      <c r="E35">
        <v>7</v>
      </c>
      <c r="F35">
        <v>98</v>
      </c>
      <c r="G35">
        <v>56</v>
      </c>
      <c r="H35">
        <v>0</v>
      </c>
      <c r="I35">
        <v>98</v>
      </c>
    </row>
    <row r="36" spans="1:9">
      <c r="A36" t="s">
        <v>9</v>
      </c>
      <c r="B36" t="s">
        <v>50</v>
      </c>
      <c r="C36" t="s">
        <v>26</v>
      </c>
      <c r="D36">
        <v>0.75</v>
      </c>
      <c r="E36">
        <v>3</v>
      </c>
      <c r="F36">
        <v>43</v>
      </c>
      <c r="G36">
        <v>57.33</v>
      </c>
      <c r="H36">
        <v>0</v>
      </c>
      <c r="I36">
        <v>43</v>
      </c>
    </row>
    <row r="37" spans="1:9">
      <c r="A37" t="s">
        <v>9</v>
      </c>
      <c r="B37" t="s">
        <v>51</v>
      </c>
      <c r="C37" t="s">
        <v>26</v>
      </c>
      <c r="D37">
        <v>0.5</v>
      </c>
      <c r="E37">
        <v>2</v>
      </c>
      <c r="F37">
        <v>28</v>
      </c>
      <c r="G37">
        <v>56</v>
      </c>
      <c r="H37">
        <v>0</v>
      </c>
      <c r="I37">
        <v>28</v>
      </c>
    </row>
    <row r="38" spans="1:9">
      <c r="A38" t="s">
        <v>9</v>
      </c>
      <c r="B38" t="s">
        <v>52</v>
      </c>
      <c r="C38" t="s">
        <v>26</v>
      </c>
      <c r="D38">
        <v>1.25</v>
      </c>
      <c r="E38">
        <v>5</v>
      </c>
      <c r="F38">
        <v>71</v>
      </c>
      <c r="G38">
        <v>56.8</v>
      </c>
      <c r="H38">
        <v>0</v>
      </c>
      <c r="I38">
        <v>71</v>
      </c>
    </row>
    <row r="39" spans="1:9">
      <c r="A39" t="s">
        <v>9</v>
      </c>
      <c r="B39" t="s">
        <v>53</v>
      </c>
      <c r="C39" t="s">
        <v>26</v>
      </c>
      <c r="D39">
        <v>0.5</v>
      </c>
      <c r="E39">
        <v>2</v>
      </c>
      <c r="F39">
        <v>28</v>
      </c>
      <c r="G39">
        <v>56</v>
      </c>
      <c r="H39">
        <v>0</v>
      </c>
      <c r="I39">
        <v>28</v>
      </c>
    </row>
    <row r="40" spans="1:9">
      <c r="A40" t="s">
        <v>9</v>
      </c>
      <c r="B40" t="s">
        <v>54</v>
      </c>
      <c r="C40" t="s">
        <v>23</v>
      </c>
      <c r="D40">
        <v>20</v>
      </c>
      <c r="E40">
        <v>10</v>
      </c>
      <c r="F40">
        <v>1020</v>
      </c>
      <c r="G40">
        <v>49.25</v>
      </c>
      <c r="H40">
        <v>35</v>
      </c>
      <c r="I40">
        <v>985</v>
      </c>
    </row>
    <row r="41" spans="1:9">
      <c r="A41" t="s">
        <v>55</v>
      </c>
      <c r="B41" t="s">
        <v>10</v>
      </c>
      <c r="C41" t="s">
        <v>11</v>
      </c>
      <c r="D41">
        <v>182.5</v>
      </c>
      <c r="E41">
        <v>365</v>
      </c>
      <c r="F41">
        <v>6167</v>
      </c>
      <c r="G41">
        <v>32.66</v>
      </c>
      <c r="H41">
        <v>207</v>
      </c>
      <c r="I41">
        <v>5960</v>
      </c>
    </row>
    <row r="42" spans="1:9">
      <c r="A42" t="s">
        <v>55</v>
      </c>
      <c r="B42" t="s">
        <v>12</v>
      </c>
      <c r="C42" t="s">
        <v>11</v>
      </c>
      <c r="D42">
        <v>573</v>
      </c>
      <c r="E42">
        <v>1146</v>
      </c>
      <c r="F42">
        <v>12662</v>
      </c>
      <c r="G42">
        <v>21.81</v>
      </c>
      <c r="H42">
        <v>162.5</v>
      </c>
      <c r="I42">
        <v>12499.5</v>
      </c>
    </row>
    <row r="43" spans="1:9">
      <c r="A43" t="s">
        <v>55</v>
      </c>
      <c r="B43" t="s">
        <v>13</v>
      </c>
      <c r="C43" t="s">
        <v>11</v>
      </c>
      <c r="D43">
        <v>41</v>
      </c>
      <c r="E43">
        <v>164</v>
      </c>
      <c r="F43">
        <v>1640</v>
      </c>
      <c r="G43">
        <v>39.05</v>
      </c>
      <c r="H43">
        <v>39</v>
      </c>
      <c r="I43">
        <v>1601</v>
      </c>
    </row>
    <row r="44" spans="1:9">
      <c r="A44" t="s">
        <v>55</v>
      </c>
      <c r="B44" t="s">
        <v>14</v>
      </c>
      <c r="C44" t="s">
        <v>15</v>
      </c>
      <c r="D44">
        <v>97</v>
      </c>
      <c r="E44">
        <v>194</v>
      </c>
      <c r="F44">
        <v>2840</v>
      </c>
      <c r="G44">
        <v>21.93</v>
      </c>
      <c r="H44">
        <v>713</v>
      </c>
      <c r="I44">
        <v>2127</v>
      </c>
    </row>
    <row r="45" spans="1:9">
      <c r="A45" t="s">
        <v>55</v>
      </c>
      <c r="B45" t="s">
        <v>15</v>
      </c>
      <c r="C45" t="s">
        <v>15</v>
      </c>
      <c r="D45">
        <v>18.25</v>
      </c>
      <c r="E45">
        <v>73</v>
      </c>
      <c r="F45">
        <v>705</v>
      </c>
      <c r="G45">
        <v>32.6</v>
      </c>
      <c r="H45">
        <v>110</v>
      </c>
      <c r="I45">
        <v>595</v>
      </c>
    </row>
    <row r="46" spans="1:9">
      <c r="A46" t="s">
        <v>55</v>
      </c>
      <c r="B46" t="s">
        <v>16</v>
      </c>
      <c r="C46" t="s">
        <v>15</v>
      </c>
      <c r="D46">
        <v>18</v>
      </c>
      <c r="E46">
        <v>24</v>
      </c>
      <c r="F46">
        <v>548</v>
      </c>
      <c r="G46">
        <v>28.5</v>
      </c>
      <c r="H46">
        <v>35</v>
      </c>
      <c r="I46">
        <v>513</v>
      </c>
    </row>
    <row r="47" spans="1:9">
      <c r="A47" t="s">
        <v>55</v>
      </c>
      <c r="B47" t="s">
        <v>56</v>
      </c>
      <c r="C47" t="s">
        <v>15</v>
      </c>
      <c r="D47">
        <v>4</v>
      </c>
      <c r="E47">
        <v>4</v>
      </c>
      <c r="F47">
        <v>95</v>
      </c>
      <c r="G47">
        <v>22.5</v>
      </c>
      <c r="H47">
        <v>5</v>
      </c>
      <c r="I47">
        <v>90</v>
      </c>
    </row>
    <row r="48" spans="1:9">
      <c r="A48" t="s">
        <v>55</v>
      </c>
      <c r="B48" t="s">
        <v>17</v>
      </c>
      <c r="C48" t="s">
        <v>15</v>
      </c>
      <c r="D48">
        <v>0.75</v>
      </c>
      <c r="E48">
        <v>1</v>
      </c>
      <c r="F48">
        <v>20</v>
      </c>
      <c r="G48">
        <v>13.33</v>
      </c>
      <c r="H48">
        <v>10</v>
      </c>
      <c r="I48">
        <v>10</v>
      </c>
    </row>
    <row r="49" spans="1:9">
      <c r="A49" t="s">
        <v>55</v>
      </c>
      <c r="B49" t="s">
        <v>19</v>
      </c>
      <c r="C49" t="s">
        <v>20</v>
      </c>
      <c r="D49">
        <v>24</v>
      </c>
      <c r="E49">
        <v>48</v>
      </c>
      <c r="F49">
        <v>1511</v>
      </c>
      <c r="G49">
        <v>60.67</v>
      </c>
      <c r="H49">
        <v>55</v>
      </c>
      <c r="I49">
        <v>1456</v>
      </c>
    </row>
    <row r="50" spans="1:9">
      <c r="A50" t="s">
        <v>55</v>
      </c>
      <c r="B50" t="s">
        <v>21</v>
      </c>
      <c r="C50" t="s">
        <v>20</v>
      </c>
      <c r="D50">
        <v>41.5</v>
      </c>
      <c r="E50">
        <v>83</v>
      </c>
      <c r="F50">
        <v>3690</v>
      </c>
      <c r="G50">
        <v>82.89</v>
      </c>
      <c r="H50">
        <v>250</v>
      </c>
      <c r="I50">
        <v>3440</v>
      </c>
    </row>
    <row r="51" spans="1:9">
      <c r="A51" t="s">
        <v>55</v>
      </c>
      <c r="B51" t="s">
        <v>24</v>
      </c>
      <c r="C51" t="s">
        <v>24</v>
      </c>
      <c r="D51">
        <v>41.5</v>
      </c>
      <c r="E51">
        <v>83</v>
      </c>
      <c r="F51">
        <v>2111</v>
      </c>
      <c r="G51">
        <v>47.86</v>
      </c>
      <c r="H51">
        <v>125</v>
      </c>
      <c r="I51">
        <v>1986</v>
      </c>
    </row>
    <row r="52" spans="1:9">
      <c r="A52" t="s">
        <v>55</v>
      </c>
      <c r="B52" t="s">
        <v>25</v>
      </c>
      <c r="C52" t="s">
        <v>26</v>
      </c>
      <c r="D52">
        <v>0.75</v>
      </c>
      <c r="E52">
        <v>1</v>
      </c>
      <c r="F52">
        <v>40</v>
      </c>
      <c r="G52">
        <v>53.33</v>
      </c>
      <c r="H52">
        <v>0</v>
      </c>
      <c r="I52">
        <v>40</v>
      </c>
    </row>
    <row r="53" spans="1:9">
      <c r="A53" t="s">
        <v>55</v>
      </c>
      <c r="B53" t="s">
        <v>27</v>
      </c>
      <c r="C53" t="s">
        <v>20</v>
      </c>
      <c r="D53">
        <v>4</v>
      </c>
      <c r="E53">
        <v>8</v>
      </c>
      <c r="F53">
        <v>282</v>
      </c>
      <c r="G53">
        <v>61.75</v>
      </c>
      <c r="H53">
        <v>35</v>
      </c>
      <c r="I53">
        <v>247</v>
      </c>
    </row>
    <row r="54" spans="1:9">
      <c r="A54" t="s">
        <v>55</v>
      </c>
      <c r="B54" t="s">
        <v>28</v>
      </c>
      <c r="C54" t="s">
        <v>26</v>
      </c>
      <c r="D54">
        <v>4</v>
      </c>
      <c r="E54">
        <v>16</v>
      </c>
      <c r="F54">
        <v>30</v>
      </c>
      <c r="G54">
        <v>5</v>
      </c>
      <c r="H54">
        <v>10</v>
      </c>
      <c r="I54">
        <v>20</v>
      </c>
    </row>
    <row r="55" spans="1:9">
      <c r="A55" t="s">
        <v>55</v>
      </c>
      <c r="B55" t="s">
        <v>57</v>
      </c>
      <c r="C55" t="s">
        <v>26</v>
      </c>
      <c r="D55">
        <v>68</v>
      </c>
      <c r="E55">
        <v>17</v>
      </c>
      <c r="F55">
        <v>2370</v>
      </c>
      <c r="G55">
        <v>33.31</v>
      </c>
      <c r="H55">
        <v>105</v>
      </c>
      <c r="I55">
        <v>2265</v>
      </c>
    </row>
    <row r="56" spans="1:9">
      <c r="A56" t="s">
        <v>55</v>
      </c>
      <c r="B56" t="s">
        <v>29</v>
      </c>
      <c r="C56" t="s">
        <v>26</v>
      </c>
      <c r="D56">
        <v>5.75</v>
      </c>
      <c r="E56">
        <v>23</v>
      </c>
      <c r="F56">
        <v>158</v>
      </c>
      <c r="G56">
        <v>24.17</v>
      </c>
      <c r="H56">
        <v>19</v>
      </c>
      <c r="I56">
        <v>139</v>
      </c>
    </row>
    <row r="57" spans="1:9">
      <c r="A57" t="s">
        <v>55</v>
      </c>
      <c r="B57" t="s">
        <v>33</v>
      </c>
      <c r="C57" t="s">
        <v>20</v>
      </c>
      <c r="D57">
        <v>6</v>
      </c>
      <c r="E57">
        <v>8</v>
      </c>
      <c r="F57">
        <v>350</v>
      </c>
      <c r="G57">
        <v>57.5</v>
      </c>
      <c r="H57">
        <v>5</v>
      </c>
      <c r="I57">
        <v>345</v>
      </c>
    </row>
    <row r="58" spans="1:9">
      <c r="A58" t="s">
        <v>55</v>
      </c>
      <c r="B58" t="s">
        <v>35</v>
      </c>
      <c r="C58" t="s">
        <v>23</v>
      </c>
      <c r="D58">
        <v>10</v>
      </c>
      <c r="E58">
        <v>5</v>
      </c>
      <c r="F58">
        <v>300</v>
      </c>
      <c r="G58">
        <v>30</v>
      </c>
      <c r="H58">
        <v>0</v>
      </c>
      <c r="I58">
        <v>300</v>
      </c>
    </row>
    <row r="59" spans="1:9">
      <c r="A59" t="s">
        <v>55</v>
      </c>
      <c r="B59" t="s">
        <v>36</v>
      </c>
      <c r="C59" t="s">
        <v>26</v>
      </c>
      <c r="D59">
        <v>6.25</v>
      </c>
      <c r="E59">
        <v>25</v>
      </c>
      <c r="F59">
        <v>398</v>
      </c>
      <c r="G59">
        <v>61.28</v>
      </c>
      <c r="H59">
        <v>15</v>
      </c>
      <c r="I59">
        <v>383</v>
      </c>
    </row>
    <row r="60" spans="1:9">
      <c r="A60" t="s">
        <v>55</v>
      </c>
      <c r="B60" t="s">
        <v>37</v>
      </c>
      <c r="C60" t="s">
        <v>11</v>
      </c>
      <c r="D60">
        <v>66.75</v>
      </c>
      <c r="E60">
        <v>267</v>
      </c>
      <c r="F60">
        <v>759</v>
      </c>
      <c r="G60">
        <v>5.42</v>
      </c>
      <c r="H60">
        <v>397</v>
      </c>
      <c r="I60">
        <v>362</v>
      </c>
    </row>
    <row r="61" spans="1:9">
      <c r="A61" t="s">
        <v>55</v>
      </c>
      <c r="B61" t="s">
        <v>38</v>
      </c>
      <c r="C61" t="s">
        <v>26</v>
      </c>
      <c r="D61">
        <v>7.25</v>
      </c>
      <c r="E61">
        <v>29</v>
      </c>
      <c r="F61">
        <v>111</v>
      </c>
      <c r="G61">
        <v>8.83</v>
      </c>
      <c r="H61">
        <v>47</v>
      </c>
      <c r="I61">
        <v>64</v>
      </c>
    </row>
    <row r="62" spans="1:9">
      <c r="A62" t="s">
        <v>55</v>
      </c>
      <c r="B62" t="s">
        <v>39</v>
      </c>
      <c r="C62" t="s">
        <v>15</v>
      </c>
      <c r="D62">
        <v>16</v>
      </c>
      <c r="E62">
        <v>32</v>
      </c>
      <c r="F62">
        <v>455</v>
      </c>
      <c r="G62">
        <v>26.88</v>
      </c>
      <c r="H62">
        <v>25</v>
      </c>
      <c r="I62">
        <v>430</v>
      </c>
    </row>
    <row r="63" spans="1:9">
      <c r="A63" t="s">
        <v>55</v>
      </c>
      <c r="B63" t="s">
        <v>41</v>
      </c>
      <c r="C63" t="s">
        <v>26</v>
      </c>
      <c r="D63">
        <v>0.5</v>
      </c>
      <c r="E63">
        <v>1</v>
      </c>
      <c r="F63">
        <v>15</v>
      </c>
      <c r="G63">
        <v>30</v>
      </c>
      <c r="H63">
        <v>0</v>
      </c>
      <c r="I63">
        <v>15</v>
      </c>
    </row>
    <row r="64" spans="1:9">
      <c r="A64" t="s">
        <v>55</v>
      </c>
      <c r="B64" t="s">
        <v>43</v>
      </c>
      <c r="C64" t="s">
        <v>23</v>
      </c>
      <c r="D64">
        <v>4.5</v>
      </c>
      <c r="E64">
        <v>6</v>
      </c>
      <c r="F64">
        <v>298</v>
      </c>
      <c r="G64">
        <v>66.22</v>
      </c>
      <c r="H64">
        <v>0</v>
      </c>
      <c r="I64">
        <v>298</v>
      </c>
    </row>
    <row r="65" spans="1:9">
      <c r="A65" t="s">
        <v>55</v>
      </c>
      <c r="B65" t="s">
        <v>44</v>
      </c>
      <c r="C65" t="s">
        <v>11</v>
      </c>
      <c r="D65">
        <v>2.25</v>
      </c>
      <c r="E65">
        <v>9</v>
      </c>
      <c r="F65">
        <v>45</v>
      </c>
      <c r="G65">
        <v>13.33</v>
      </c>
      <c r="H65">
        <v>15</v>
      </c>
      <c r="I65">
        <v>30</v>
      </c>
    </row>
    <row r="66" spans="1:9">
      <c r="A66" t="s">
        <v>55</v>
      </c>
      <c r="B66" t="s">
        <v>45</v>
      </c>
      <c r="C66" t="s">
        <v>20</v>
      </c>
      <c r="D66">
        <v>0.75</v>
      </c>
      <c r="E66">
        <v>3</v>
      </c>
      <c r="F66">
        <v>60</v>
      </c>
      <c r="G66">
        <v>80</v>
      </c>
      <c r="H66">
        <v>0</v>
      </c>
      <c r="I66">
        <v>60</v>
      </c>
    </row>
    <row r="67" spans="1:9">
      <c r="A67" t="s">
        <v>55</v>
      </c>
      <c r="B67" t="s">
        <v>46</v>
      </c>
      <c r="C67" t="s">
        <v>20</v>
      </c>
      <c r="D67">
        <v>5.5</v>
      </c>
      <c r="E67">
        <v>22</v>
      </c>
      <c r="F67">
        <v>105</v>
      </c>
      <c r="G67">
        <v>5.45</v>
      </c>
      <c r="H67">
        <v>75</v>
      </c>
      <c r="I67">
        <v>30</v>
      </c>
    </row>
    <row r="68" spans="1:9">
      <c r="A68" t="s">
        <v>55</v>
      </c>
      <c r="B68" t="s">
        <v>47</v>
      </c>
      <c r="C68" t="s">
        <v>23</v>
      </c>
      <c r="D68">
        <v>4.5</v>
      </c>
      <c r="E68">
        <v>3</v>
      </c>
      <c r="F68">
        <v>235</v>
      </c>
      <c r="G68">
        <v>52.22</v>
      </c>
      <c r="H68">
        <v>0</v>
      </c>
      <c r="I68">
        <v>235</v>
      </c>
    </row>
    <row r="69" spans="1:9">
      <c r="A69" t="s">
        <v>55</v>
      </c>
      <c r="B69" t="s">
        <v>58</v>
      </c>
      <c r="C69" t="s">
        <v>15</v>
      </c>
      <c r="D69">
        <v>3</v>
      </c>
      <c r="E69">
        <v>1</v>
      </c>
      <c r="F69">
        <v>0</v>
      </c>
      <c r="G69" t="s">
        <v>18</v>
      </c>
      <c r="H69">
        <v>0</v>
      </c>
      <c r="I69">
        <v>0</v>
      </c>
    </row>
    <row r="70" spans="1:9">
      <c r="A70" t="s">
        <v>55</v>
      </c>
      <c r="B70" t="s">
        <v>59</v>
      </c>
      <c r="C70" t="s">
        <v>26</v>
      </c>
      <c r="D70">
        <v>5</v>
      </c>
      <c r="E70">
        <v>2</v>
      </c>
      <c r="F70">
        <v>310</v>
      </c>
      <c r="G70">
        <v>56</v>
      </c>
      <c r="H70">
        <v>30</v>
      </c>
      <c r="I70">
        <v>280</v>
      </c>
    </row>
    <row r="71" spans="1:9">
      <c r="A71" t="s">
        <v>55</v>
      </c>
      <c r="B71" t="s">
        <v>48</v>
      </c>
      <c r="C71" t="s">
        <v>26</v>
      </c>
      <c r="D71">
        <v>2.5</v>
      </c>
      <c r="E71">
        <v>10</v>
      </c>
      <c r="F71">
        <v>141</v>
      </c>
      <c r="G71">
        <v>56.4</v>
      </c>
      <c r="H71">
        <v>0</v>
      </c>
      <c r="I71">
        <v>141</v>
      </c>
    </row>
    <row r="72" spans="1:9">
      <c r="A72" t="s">
        <v>55</v>
      </c>
      <c r="B72" t="s">
        <v>49</v>
      </c>
      <c r="C72" t="s">
        <v>26</v>
      </c>
      <c r="D72">
        <v>0.75</v>
      </c>
      <c r="E72">
        <v>3</v>
      </c>
      <c r="F72">
        <v>42</v>
      </c>
      <c r="G72">
        <v>56</v>
      </c>
      <c r="H72">
        <v>0</v>
      </c>
      <c r="I72">
        <v>42</v>
      </c>
    </row>
    <row r="73" spans="1:9">
      <c r="A73" t="s">
        <v>55</v>
      </c>
      <c r="B73" t="s">
        <v>50</v>
      </c>
      <c r="C73" t="s">
        <v>26</v>
      </c>
      <c r="D73">
        <v>0.25</v>
      </c>
      <c r="E73">
        <v>1</v>
      </c>
      <c r="F73">
        <v>15</v>
      </c>
      <c r="G73">
        <v>60</v>
      </c>
      <c r="H73">
        <v>0</v>
      </c>
      <c r="I73">
        <v>15</v>
      </c>
    </row>
    <row r="74" spans="1:9">
      <c r="A74" t="s">
        <v>55</v>
      </c>
      <c r="B74" t="s">
        <v>53</v>
      </c>
      <c r="C74" t="s">
        <v>26</v>
      </c>
      <c r="D74">
        <v>1.25</v>
      </c>
      <c r="E74">
        <v>5</v>
      </c>
      <c r="F74">
        <v>72</v>
      </c>
      <c r="G74">
        <v>57.6</v>
      </c>
      <c r="H74">
        <v>0</v>
      </c>
      <c r="I74">
        <v>72</v>
      </c>
    </row>
    <row r="75" spans="1:9">
      <c r="A75" t="s">
        <v>55</v>
      </c>
      <c r="B75" t="s">
        <v>54</v>
      </c>
      <c r="C75" t="s">
        <v>23</v>
      </c>
      <c r="D75">
        <v>98</v>
      </c>
      <c r="E75">
        <v>49</v>
      </c>
      <c r="F75">
        <v>4308</v>
      </c>
      <c r="G75">
        <v>41.85</v>
      </c>
      <c r="H75">
        <v>207</v>
      </c>
      <c r="I75">
        <v>4101</v>
      </c>
    </row>
    <row r="76" spans="1:9">
      <c r="A76" t="s">
        <v>55</v>
      </c>
      <c r="B76" t="s">
        <v>60</v>
      </c>
      <c r="C76" t="s">
        <v>26</v>
      </c>
      <c r="D76">
        <v>2.5</v>
      </c>
      <c r="E76">
        <v>1</v>
      </c>
      <c r="F76">
        <v>150</v>
      </c>
      <c r="G76">
        <v>48</v>
      </c>
      <c r="H76">
        <v>30</v>
      </c>
      <c r="I76">
        <v>120</v>
      </c>
    </row>
    <row r="77" spans="1:9">
      <c r="A77" t="s">
        <v>61</v>
      </c>
      <c r="B77" t="s">
        <v>10</v>
      </c>
      <c r="C77" t="s">
        <v>11</v>
      </c>
      <c r="D77">
        <v>3.5</v>
      </c>
      <c r="E77">
        <v>7</v>
      </c>
      <c r="F77">
        <v>107</v>
      </c>
      <c r="G77">
        <v>29.71</v>
      </c>
      <c r="H77">
        <v>3</v>
      </c>
      <c r="I77">
        <v>104</v>
      </c>
    </row>
    <row r="78" spans="1:9">
      <c r="A78" t="s">
        <v>61</v>
      </c>
      <c r="B78" t="s">
        <v>12</v>
      </c>
      <c r="C78" t="s">
        <v>11</v>
      </c>
      <c r="D78">
        <v>14</v>
      </c>
      <c r="E78">
        <v>28</v>
      </c>
      <c r="F78">
        <v>287</v>
      </c>
      <c r="G78">
        <v>19.5</v>
      </c>
      <c r="H78">
        <v>14</v>
      </c>
      <c r="I78">
        <v>273</v>
      </c>
    </row>
    <row r="79" spans="1:9">
      <c r="A79" t="s">
        <v>61</v>
      </c>
      <c r="B79" t="s">
        <v>13</v>
      </c>
      <c r="C79" t="s">
        <v>11</v>
      </c>
      <c r="D79">
        <v>5</v>
      </c>
      <c r="E79">
        <v>20</v>
      </c>
      <c r="F79">
        <v>200</v>
      </c>
      <c r="G79">
        <v>38</v>
      </c>
      <c r="H79">
        <v>10</v>
      </c>
      <c r="I79">
        <v>190</v>
      </c>
    </row>
    <row r="80" spans="1:9">
      <c r="A80" t="s">
        <v>61</v>
      </c>
      <c r="B80" t="s">
        <v>14</v>
      </c>
      <c r="C80" t="s">
        <v>15</v>
      </c>
      <c r="D80">
        <v>75</v>
      </c>
      <c r="E80">
        <v>150</v>
      </c>
      <c r="F80">
        <v>2293</v>
      </c>
      <c r="G80">
        <v>25.48</v>
      </c>
      <c r="H80">
        <v>382</v>
      </c>
      <c r="I80">
        <v>1911</v>
      </c>
    </row>
    <row r="81" spans="1:9">
      <c r="A81" t="s">
        <v>61</v>
      </c>
      <c r="B81" t="s">
        <v>15</v>
      </c>
      <c r="C81" t="s">
        <v>15</v>
      </c>
      <c r="D81">
        <v>11</v>
      </c>
      <c r="E81">
        <v>44</v>
      </c>
      <c r="F81">
        <v>431</v>
      </c>
      <c r="G81">
        <v>28.18</v>
      </c>
      <c r="H81">
        <v>121</v>
      </c>
      <c r="I81">
        <v>310</v>
      </c>
    </row>
    <row r="82" spans="1:9">
      <c r="A82" t="s">
        <v>61</v>
      </c>
      <c r="B82" t="s">
        <v>16</v>
      </c>
      <c r="C82" t="s">
        <v>15</v>
      </c>
      <c r="D82">
        <v>21</v>
      </c>
      <c r="E82">
        <v>28</v>
      </c>
      <c r="F82">
        <v>621</v>
      </c>
      <c r="G82">
        <v>26.52</v>
      </c>
      <c r="H82">
        <v>64</v>
      </c>
      <c r="I82">
        <v>557</v>
      </c>
    </row>
    <row r="83" spans="1:9">
      <c r="A83" t="s">
        <v>61</v>
      </c>
      <c r="B83" t="s">
        <v>56</v>
      </c>
      <c r="C83" t="s">
        <v>15</v>
      </c>
      <c r="D83">
        <v>4</v>
      </c>
      <c r="E83">
        <v>4</v>
      </c>
      <c r="F83">
        <v>120</v>
      </c>
      <c r="G83">
        <v>25</v>
      </c>
      <c r="H83">
        <v>20</v>
      </c>
      <c r="I83">
        <v>100</v>
      </c>
    </row>
    <row r="84" spans="1:9">
      <c r="A84" t="s">
        <v>61</v>
      </c>
      <c r="B84" t="s">
        <v>19</v>
      </c>
      <c r="C84" t="s">
        <v>20</v>
      </c>
      <c r="D84">
        <v>21</v>
      </c>
      <c r="E84">
        <v>42</v>
      </c>
      <c r="F84">
        <v>1309</v>
      </c>
      <c r="G84">
        <v>61.86</v>
      </c>
      <c r="H84">
        <v>10</v>
      </c>
      <c r="I84">
        <v>1299</v>
      </c>
    </row>
    <row r="85" spans="1:9">
      <c r="A85" t="s">
        <v>61</v>
      </c>
      <c r="B85" t="s">
        <v>21</v>
      </c>
      <c r="C85" t="s">
        <v>20</v>
      </c>
      <c r="D85">
        <v>29.5</v>
      </c>
      <c r="E85">
        <v>59</v>
      </c>
      <c r="F85">
        <v>2826</v>
      </c>
      <c r="G85">
        <v>91.46</v>
      </c>
      <c r="H85">
        <v>128</v>
      </c>
      <c r="I85">
        <v>2698</v>
      </c>
    </row>
    <row r="86" spans="1:9">
      <c r="A86" t="s">
        <v>61</v>
      </c>
      <c r="B86" t="s">
        <v>24</v>
      </c>
      <c r="C86" t="s">
        <v>24</v>
      </c>
      <c r="D86">
        <v>28</v>
      </c>
      <c r="E86">
        <v>56</v>
      </c>
      <c r="F86">
        <v>1660</v>
      </c>
      <c r="G86">
        <v>57.32</v>
      </c>
      <c r="H86">
        <v>55</v>
      </c>
      <c r="I86">
        <v>1605</v>
      </c>
    </row>
    <row r="87" spans="1:9">
      <c r="A87" t="s">
        <v>61</v>
      </c>
      <c r="B87" t="s">
        <v>25</v>
      </c>
      <c r="C87" t="s">
        <v>26</v>
      </c>
      <c r="D87">
        <v>1.5</v>
      </c>
      <c r="E87">
        <v>2</v>
      </c>
      <c r="F87">
        <v>77</v>
      </c>
      <c r="G87">
        <v>51.33</v>
      </c>
      <c r="H87">
        <v>0</v>
      </c>
      <c r="I87">
        <v>77</v>
      </c>
    </row>
    <row r="88" spans="1:9">
      <c r="A88" t="s">
        <v>61</v>
      </c>
      <c r="B88" t="s">
        <v>27</v>
      </c>
      <c r="C88" t="s">
        <v>20</v>
      </c>
      <c r="D88">
        <v>4</v>
      </c>
      <c r="E88">
        <v>8</v>
      </c>
      <c r="F88">
        <v>285</v>
      </c>
      <c r="G88">
        <v>62.5</v>
      </c>
      <c r="H88">
        <v>35</v>
      </c>
      <c r="I88">
        <v>250</v>
      </c>
    </row>
    <row r="89" spans="1:9">
      <c r="A89" t="s">
        <v>61</v>
      </c>
      <c r="B89" t="s">
        <v>28</v>
      </c>
      <c r="C89" t="s">
        <v>26</v>
      </c>
      <c r="D89">
        <v>2</v>
      </c>
      <c r="E89">
        <v>8</v>
      </c>
      <c r="F89">
        <v>17</v>
      </c>
      <c r="G89">
        <v>7.5</v>
      </c>
      <c r="H89">
        <v>2</v>
      </c>
      <c r="I89">
        <v>15</v>
      </c>
    </row>
    <row r="90" spans="1:9">
      <c r="A90" t="s">
        <v>61</v>
      </c>
      <c r="B90" t="s">
        <v>57</v>
      </c>
      <c r="C90" t="s">
        <v>26</v>
      </c>
      <c r="D90">
        <v>16</v>
      </c>
      <c r="E90">
        <v>4</v>
      </c>
      <c r="F90">
        <v>561</v>
      </c>
      <c r="G90">
        <v>35.06</v>
      </c>
      <c r="H90">
        <v>0</v>
      </c>
      <c r="I90">
        <v>561</v>
      </c>
    </row>
    <row r="91" spans="1:9">
      <c r="A91" t="s">
        <v>61</v>
      </c>
      <c r="B91" t="s">
        <v>29</v>
      </c>
      <c r="C91" t="s">
        <v>26</v>
      </c>
      <c r="D91">
        <v>8.25</v>
      </c>
      <c r="E91">
        <v>33</v>
      </c>
      <c r="F91">
        <v>184</v>
      </c>
      <c r="G91">
        <v>21.58</v>
      </c>
      <c r="H91">
        <v>6</v>
      </c>
      <c r="I91">
        <v>178</v>
      </c>
    </row>
    <row r="92" spans="1:9">
      <c r="A92" t="s">
        <v>61</v>
      </c>
      <c r="B92" t="s">
        <v>30</v>
      </c>
      <c r="C92" t="s">
        <v>15</v>
      </c>
      <c r="D92">
        <v>1.5</v>
      </c>
      <c r="E92">
        <v>1</v>
      </c>
      <c r="F92">
        <v>0</v>
      </c>
      <c r="G92" t="s">
        <v>18</v>
      </c>
      <c r="H92">
        <v>0</v>
      </c>
      <c r="I92">
        <v>0</v>
      </c>
    </row>
    <row r="93" spans="1:9">
      <c r="A93" t="s">
        <v>61</v>
      </c>
      <c r="B93" t="s">
        <v>31</v>
      </c>
      <c r="C93" t="s">
        <v>32</v>
      </c>
      <c r="D93">
        <v>0.75</v>
      </c>
      <c r="E93">
        <v>3</v>
      </c>
      <c r="F93">
        <v>21</v>
      </c>
      <c r="G93">
        <v>28</v>
      </c>
      <c r="H93">
        <v>0</v>
      </c>
      <c r="I93">
        <v>21</v>
      </c>
    </row>
    <row r="94" spans="1:9">
      <c r="A94" t="s">
        <v>61</v>
      </c>
      <c r="B94" t="s">
        <v>33</v>
      </c>
      <c r="C94" t="s">
        <v>20</v>
      </c>
      <c r="D94">
        <v>8.25</v>
      </c>
      <c r="E94">
        <v>11</v>
      </c>
      <c r="F94">
        <v>490</v>
      </c>
      <c r="G94">
        <v>58.18</v>
      </c>
      <c r="H94">
        <v>10</v>
      </c>
      <c r="I94">
        <v>480</v>
      </c>
    </row>
    <row r="95" spans="1:9">
      <c r="A95" t="s">
        <v>61</v>
      </c>
      <c r="B95" t="s">
        <v>36</v>
      </c>
      <c r="C95" t="s">
        <v>26</v>
      </c>
      <c r="D95">
        <v>0.75</v>
      </c>
      <c r="E95">
        <v>3</v>
      </c>
      <c r="F95">
        <v>40</v>
      </c>
      <c r="G95">
        <v>53.33</v>
      </c>
      <c r="H95">
        <v>0</v>
      </c>
      <c r="I95">
        <v>40</v>
      </c>
    </row>
    <row r="96" spans="1:9">
      <c r="A96" t="s">
        <v>61</v>
      </c>
      <c r="B96" t="s">
        <v>37</v>
      </c>
      <c r="C96" t="s">
        <v>11</v>
      </c>
      <c r="D96">
        <v>1.5</v>
      </c>
      <c r="E96">
        <v>6</v>
      </c>
      <c r="F96">
        <v>15</v>
      </c>
      <c r="G96">
        <v>7.33</v>
      </c>
      <c r="H96">
        <v>4</v>
      </c>
      <c r="I96">
        <v>11</v>
      </c>
    </row>
    <row r="97" spans="1:9">
      <c r="A97" t="s">
        <v>61</v>
      </c>
      <c r="B97" t="s">
        <v>38</v>
      </c>
      <c r="C97" t="s">
        <v>26</v>
      </c>
      <c r="D97">
        <v>21</v>
      </c>
      <c r="E97">
        <v>84</v>
      </c>
      <c r="F97">
        <v>323</v>
      </c>
      <c r="G97">
        <v>7.67</v>
      </c>
      <c r="H97">
        <v>162</v>
      </c>
      <c r="I97">
        <v>161</v>
      </c>
    </row>
    <row r="98" spans="1:9">
      <c r="A98" t="s">
        <v>61</v>
      </c>
      <c r="B98" t="s">
        <v>39</v>
      </c>
      <c r="C98" t="s">
        <v>15</v>
      </c>
      <c r="D98">
        <v>9.5</v>
      </c>
      <c r="E98">
        <v>19</v>
      </c>
      <c r="F98">
        <v>210</v>
      </c>
      <c r="G98">
        <v>17.05</v>
      </c>
      <c r="H98">
        <v>48</v>
      </c>
      <c r="I98">
        <v>162</v>
      </c>
    </row>
    <row r="99" spans="1:9">
      <c r="A99" t="s">
        <v>61</v>
      </c>
      <c r="B99" t="s">
        <v>62</v>
      </c>
      <c r="C99" t="s">
        <v>26</v>
      </c>
      <c r="D99">
        <v>0.25</v>
      </c>
      <c r="E99">
        <v>1</v>
      </c>
      <c r="F99">
        <v>6</v>
      </c>
      <c r="G99">
        <v>24</v>
      </c>
      <c r="H99">
        <v>0</v>
      </c>
      <c r="I99">
        <v>6</v>
      </c>
    </row>
    <row r="100" spans="1:9">
      <c r="A100" t="s">
        <v>61</v>
      </c>
      <c r="B100" t="s">
        <v>43</v>
      </c>
      <c r="C100" t="s">
        <v>23</v>
      </c>
      <c r="D100">
        <v>5.25</v>
      </c>
      <c r="E100">
        <v>7</v>
      </c>
      <c r="F100">
        <v>440</v>
      </c>
      <c r="G100">
        <v>83.81</v>
      </c>
      <c r="H100">
        <v>0</v>
      </c>
      <c r="I100">
        <v>440</v>
      </c>
    </row>
    <row r="101" spans="1:9">
      <c r="A101" t="s">
        <v>61</v>
      </c>
      <c r="B101" t="s">
        <v>45</v>
      </c>
      <c r="C101" t="s">
        <v>20</v>
      </c>
      <c r="D101">
        <v>2</v>
      </c>
      <c r="E101">
        <v>8</v>
      </c>
      <c r="F101">
        <v>160</v>
      </c>
      <c r="G101">
        <v>80</v>
      </c>
      <c r="H101">
        <v>0</v>
      </c>
      <c r="I101">
        <v>160</v>
      </c>
    </row>
    <row r="102" spans="1:9">
      <c r="A102" t="s">
        <v>61</v>
      </c>
      <c r="B102" t="s">
        <v>46</v>
      </c>
      <c r="C102" t="s">
        <v>20</v>
      </c>
      <c r="D102">
        <v>3.75</v>
      </c>
      <c r="E102">
        <v>15</v>
      </c>
      <c r="F102">
        <v>75</v>
      </c>
      <c r="G102">
        <v>2.67</v>
      </c>
      <c r="H102">
        <v>65</v>
      </c>
      <c r="I102">
        <v>10</v>
      </c>
    </row>
    <row r="103" spans="1:9">
      <c r="A103" t="s">
        <v>61</v>
      </c>
      <c r="B103" t="s">
        <v>63</v>
      </c>
      <c r="C103" t="s">
        <v>64</v>
      </c>
      <c r="D103">
        <v>1.5</v>
      </c>
      <c r="E103">
        <v>1</v>
      </c>
      <c r="F103">
        <v>35</v>
      </c>
      <c r="G103">
        <v>23.33</v>
      </c>
      <c r="H103">
        <v>0</v>
      </c>
      <c r="I103">
        <v>35</v>
      </c>
    </row>
    <row r="104" spans="1:9">
      <c r="A104" t="s">
        <v>61</v>
      </c>
      <c r="B104" t="s">
        <v>59</v>
      </c>
      <c r="C104" t="s">
        <v>26</v>
      </c>
      <c r="D104">
        <v>2.5</v>
      </c>
      <c r="E104">
        <v>1</v>
      </c>
      <c r="F104">
        <v>0</v>
      </c>
      <c r="G104" t="s">
        <v>18</v>
      </c>
      <c r="H104">
        <v>0</v>
      </c>
      <c r="I104">
        <v>0</v>
      </c>
    </row>
    <row r="105" spans="1:9">
      <c r="A105" t="s">
        <v>61</v>
      </c>
      <c r="B105" t="s">
        <v>65</v>
      </c>
      <c r="C105" t="s">
        <v>26</v>
      </c>
      <c r="D105">
        <v>1</v>
      </c>
      <c r="E105">
        <v>1</v>
      </c>
      <c r="F105">
        <v>45</v>
      </c>
      <c r="G105">
        <v>45</v>
      </c>
      <c r="H105">
        <v>0</v>
      </c>
      <c r="I105">
        <v>45</v>
      </c>
    </row>
    <row r="106" spans="1:9">
      <c r="A106" t="s">
        <v>61</v>
      </c>
      <c r="B106" t="s">
        <v>48</v>
      </c>
      <c r="C106" t="s">
        <v>26</v>
      </c>
      <c r="D106">
        <v>1.75</v>
      </c>
      <c r="E106">
        <v>7</v>
      </c>
      <c r="F106">
        <v>98</v>
      </c>
      <c r="G106">
        <v>56</v>
      </c>
      <c r="H106">
        <v>0</v>
      </c>
      <c r="I106">
        <v>98</v>
      </c>
    </row>
    <row r="107" spans="1:9">
      <c r="A107" t="s">
        <v>61</v>
      </c>
      <c r="B107" t="s">
        <v>49</v>
      </c>
      <c r="C107" t="s">
        <v>26</v>
      </c>
      <c r="D107">
        <v>1.25</v>
      </c>
      <c r="E107">
        <v>5</v>
      </c>
      <c r="F107">
        <v>74</v>
      </c>
      <c r="G107">
        <v>59.2</v>
      </c>
      <c r="H107">
        <v>0</v>
      </c>
      <c r="I107">
        <v>74</v>
      </c>
    </row>
    <row r="108" spans="1:9">
      <c r="A108" t="s">
        <v>61</v>
      </c>
      <c r="B108" t="s">
        <v>50</v>
      </c>
      <c r="C108" t="s">
        <v>26</v>
      </c>
      <c r="D108">
        <v>0.25</v>
      </c>
      <c r="E108">
        <v>1</v>
      </c>
      <c r="F108">
        <v>14</v>
      </c>
      <c r="G108">
        <v>56</v>
      </c>
      <c r="H108">
        <v>0</v>
      </c>
      <c r="I108">
        <v>14</v>
      </c>
    </row>
    <row r="109" spans="1:9">
      <c r="A109" t="s">
        <v>61</v>
      </c>
      <c r="B109" t="s">
        <v>51</v>
      </c>
      <c r="C109" t="s">
        <v>26</v>
      </c>
      <c r="D109">
        <v>0.25</v>
      </c>
      <c r="E109">
        <v>1</v>
      </c>
      <c r="F109">
        <v>15</v>
      </c>
      <c r="G109">
        <v>60</v>
      </c>
      <c r="H109">
        <v>0</v>
      </c>
      <c r="I109">
        <v>15</v>
      </c>
    </row>
    <row r="110" spans="1:9">
      <c r="A110" t="s">
        <v>61</v>
      </c>
      <c r="B110" t="s">
        <v>66</v>
      </c>
      <c r="C110" t="s">
        <v>26</v>
      </c>
      <c r="D110">
        <v>0.25</v>
      </c>
      <c r="E110">
        <v>1</v>
      </c>
      <c r="F110">
        <v>14</v>
      </c>
      <c r="G110">
        <v>56</v>
      </c>
      <c r="H110">
        <v>0</v>
      </c>
      <c r="I110">
        <v>14</v>
      </c>
    </row>
    <row r="111" spans="1:9">
      <c r="A111" t="s">
        <v>61</v>
      </c>
      <c r="B111" t="s">
        <v>53</v>
      </c>
      <c r="C111" t="s">
        <v>26</v>
      </c>
      <c r="D111">
        <v>0.75</v>
      </c>
      <c r="E111">
        <v>3</v>
      </c>
      <c r="F111">
        <v>42</v>
      </c>
      <c r="G111">
        <v>56</v>
      </c>
      <c r="H111">
        <v>0</v>
      </c>
      <c r="I111">
        <v>42</v>
      </c>
    </row>
    <row r="112" spans="1:9">
      <c r="A112" t="s">
        <v>67</v>
      </c>
      <c r="B112" t="s">
        <v>10</v>
      </c>
      <c r="C112" t="s">
        <v>11</v>
      </c>
      <c r="D112">
        <v>87.5</v>
      </c>
      <c r="E112">
        <v>175</v>
      </c>
      <c r="F112">
        <v>3042</v>
      </c>
      <c r="G112">
        <v>34.18</v>
      </c>
      <c r="H112">
        <v>51</v>
      </c>
      <c r="I112">
        <v>2991</v>
      </c>
    </row>
    <row r="113" spans="1:9">
      <c r="A113" t="s">
        <v>67</v>
      </c>
      <c r="B113" t="s">
        <v>12</v>
      </c>
      <c r="C113" t="s">
        <v>11</v>
      </c>
      <c r="D113">
        <v>199.5</v>
      </c>
      <c r="E113">
        <v>399</v>
      </c>
      <c r="F113">
        <v>4649</v>
      </c>
      <c r="G113">
        <v>22.93</v>
      </c>
      <c r="H113">
        <v>74</v>
      </c>
      <c r="I113">
        <v>4575</v>
      </c>
    </row>
    <row r="114" spans="1:9">
      <c r="A114" t="s">
        <v>67</v>
      </c>
      <c r="B114" t="s">
        <v>13</v>
      </c>
      <c r="C114" t="s">
        <v>11</v>
      </c>
      <c r="D114">
        <v>14</v>
      </c>
      <c r="E114">
        <v>56</v>
      </c>
      <c r="F114">
        <v>540</v>
      </c>
      <c r="G114">
        <v>37.71</v>
      </c>
      <c r="H114">
        <v>12</v>
      </c>
      <c r="I114">
        <v>528</v>
      </c>
    </row>
    <row r="115" spans="1:9">
      <c r="A115" t="s">
        <v>67</v>
      </c>
      <c r="B115" t="s">
        <v>14</v>
      </c>
      <c r="C115" t="s">
        <v>15</v>
      </c>
      <c r="D115">
        <v>29.5</v>
      </c>
      <c r="E115">
        <v>59</v>
      </c>
      <c r="F115">
        <v>908</v>
      </c>
      <c r="G115">
        <v>23.97</v>
      </c>
      <c r="H115">
        <v>201</v>
      </c>
      <c r="I115">
        <v>707</v>
      </c>
    </row>
    <row r="116" spans="1:9">
      <c r="A116" t="s">
        <v>67</v>
      </c>
      <c r="B116" t="s">
        <v>15</v>
      </c>
      <c r="C116" t="s">
        <v>15</v>
      </c>
      <c r="D116">
        <v>5.75</v>
      </c>
      <c r="E116">
        <v>23</v>
      </c>
      <c r="F116">
        <v>213</v>
      </c>
      <c r="G116">
        <v>26.61</v>
      </c>
      <c r="H116">
        <v>60</v>
      </c>
      <c r="I116">
        <v>153</v>
      </c>
    </row>
    <row r="117" spans="1:9">
      <c r="A117" t="s">
        <v>67</v>
      </c>
      <c r="B117" t="s">
        <v>16</v>
      </c>
      <c r="C117" t="s">
        <v>15</v>
      </c>
      <c r="D117">
        <v>7.5</v>
      </c>
      <c r="E117">
        <v>10</v>
      </c>
      <c r="F117">
        <v>252</v>
      </c>
      <c r="G117">
        <v>30.27</v>
      </c>
      <c r="H117">
        <v>25</v>
      </c>
      <c r="I117">
        <v>227</v>
      </c>
    </row>
    <row r="118" spans="1:9">
      <c r="A118" t="s">
        <v>67</v>
      </c>
      <c r="B118" t="s">
        <v>56</v>
      </c>
      <c r="C118" t="s">
        <v>15</v>
      </c>
      <c r="D118">
        <v>4</v>
      </c>
      <c r="E118">
        <v>4</v>
      </c>
      <c r="F118">
        <v>138</v>
      </c>
      <c r="G118">
        <v>34.5</v>
      </c>
      <c r="H118">
        <v>0</v>
      </c>
      <c r="I118">
        <v>138</v>
      </c>
    </row>
    <row r="119" spans="1:9">
      <c r="A119" t="s">
        <v>67</v>
      </c>
      <c r="B119" t="s">
        <v>19</v>
      </c>
      <c r="C119" t="s">
        <v>20</v>
      </c>
      <c r="D119">
        <v>3.5</v>
      </c>
      <c r="E119">
        <v>7</v>
      </c>
      <c r="F119">
        <v>220</v>
      </c>
      <c r="G119">
        <v>62.86</v>
      </c>
      <c r="H119">
        <v>0</v>
      </c>
      <c r="I119">
        <v>220</v>
      </c>
    </row>
    <row r="120" spans="1:9">
      <c r="A120" t="s">
        <v>67</v>
      </c>
      <c r="B120" t="s">
        <v>21</v>
      </c>
      <c r="C120" t="s">
        <v>20</v>
      </c>
      <c r="D120">
        <v>6.5</v>
      </c>
      <c r="E120">
        <v>13</v>
      </c>
      <c r="F120">
        <v>675</v>
      </c>
      <c r="G120">
        <v>101.08</v>
      </c>
      <c r="H120">
        <v>18</v>
      </c>
      <c r="I120">
        <v>657</v>
      </c>
    </row>
    <row r="121" spans="1:9">
      <c r="A121" t="s">
        <v>67</v>
      </c>
      <c r="B121" t="s">
        <v>24</v>
      </c>
      <c r="C121" t="s">
        <v>24</v>
      </c>
      <c r="D121">
        <v>6</v>
      </c>
      <c r="E121">
        <v>12</v>
      </c>
      <c r="F121">
        <v>320</v>
      </c>
      <c r="G121">
        <v>43.33</v>
      </c>
      <c r="H121">
        <v>60</v>
      </c>
      <c r="I121">
        <v>260</v>
      </c>
    </row>
    <row r="122" spans="1:9">
      <c r="A122" t="s">
        <v>67</v>
      </c>
      <c r="B122" t="s">
        <v>28</v>
      </c>
      <c r="C122" t="s">
        <v>26</v>
      </c>
      <c r="D122">
        <v>0.75</v>
      </c>
      <c r="E122">
        <v>3</v>
      </c>
      <c r="F122">
        <v>7</v>
      </c>
      <c r="G122">
        <v>9.33</v>
      </c>
      <c r="H122">
        <v>0</v>
      </c>
      <c r="I122">
        <v>7</v>
      </c>
    </row>
    <row r="123" spans="1:9">
      <c r="A123" t="s">
        <v>67</v>
      </c>
      <c r="B123" t="s">
        <v>57</v>
      </c>
      <c r="C123" t="s">
        <v>26</v>
      </c>
      <c r="D123">
        <v>24</v>
      </c>
      <c r="E123">
        <v>6</v>
      </c>
      <c r="F123">
        <v>880</v>
      </c>
      <c r="G123">
        <v>33.96</v>
      </c>
      <c r="H123">
        <v>65</v>
      </c>
      <c r="I123">
        <v>815</v>
      </c>
    </row>
    <row r="124" spans="1:9">
      <c r="A124" t="s">
        <v>67</v>
      </c>
      <c r="B124" t="s">
        <v>29</v>
      </c>
      <c r="C124" t="s">
        <v>26</v>
      </c>
      <c r="D124">
        <v>3.5</v>
      </c>
      <c r="E124">
        <v>14</v>
      </c>
      <c r="F124">
        <v>101</v>
      </c>
      <c r="G124">
        <v>27.71</v>
      </c>
      <c r="H124">
        <v>4</v>
      </c>
      <c r="I124">
        <v>97</v>
      </c>
    </row>
    <row r="125" spans="1:9">
      <c r="A125" t="s">
        <v>67</v>
      </c>
      <c r="B125" t="s">
        <v>68</v>
      </c>
      <c r="C125" t="s">
        <v>23</v>
      </c>
      <c r="D125">
        <v>5</v>
      </c>
      <c r="E125">
        <v>2</v>
      </c>
      <c r="F125">
        <v>230</v>
      </c>
      <c r="G125">
        <v>46</v>
      </c>
      <c r="H125">
        <v>0</v>
      </c>
      <c r="I125">
        <v>230</v>
      </c>
    </row>
    <row r="126" spans="1:9">
      <c r="A126" t="s">
        <v>67</v>
      </c>
      <c r="B126" t="s">
        <v>35</v>
      </c>
      <c r="C126" t="s">
        <v>23</v>
      </c>
      <c r="D126">
        <v>12</v>
      </c>
      <c r="E126">
        <v>6</v>
      </c>
      <c r="F126">
        <v>395</v>
      </c>
      <c r="G126">
        <v>31.25</v>
      </c>
      <c r="H126">
        <v>20</v>
      </c>
      <c r="I126">
        <v>375</v>
      </c>
    </row>
    <row r="127" spans="1:9">
      <c r="A127" t="s">
        <v>67</v>
      </c>
      <c r="B127" t="s">
        <v>36</v>
      </c>
      <c r="C127" t="s">
        <v>26</v>
      </c>
      <c r="D127">
        <v>3.5</v>
      </c>
      <c r="E127">
        <v>14</v>
      </c>
      <c r="F127">
        <v>273</v>
      </c>
      <c r="G127">
        <v>78</v>
      </c>
      <c r="H127">
        <v>0</v>
      </c>
      <c r="I127">
        <v>273</v>
      </c>
    </row>
    <row r="128" spans="1:9">
      <c r="A128" t="s">
        <v>67</v>
      </c>
      <c r="B128" t="s">
        <v>37</v>
      </c>
      <c r="C128" t="s">
        <v>11</v>
      </c>
      <c r="D128">
        <v>26</v>
      </c>
      <c r="E128">
        <v>104</v>
      </c>
      <c r="F128">
        <v>290</v>
      </c>
      <c r="G128">
        <v>4.81</v>
      </c>
      <c r="H128">
        <v>165</v>
      </c>
      <c r="I128">
        <v>125</v>
      </c>
    </row>
    <row r="129" spans="1:9">
      <c r="A129" t="s">
        <v>67</v>
      </c>
      <c r="B129" t="s">
        <v>38</v>
      </c>
      <c r="C129" t="s">
        <v>26</v>
      </c>
      <c r="D129">
        <v>3.5</v>
      </c>
      <c r="E129">
        <v>14</v>
      </c>
      <c r="F129">
        <v>62</v>
      </c>
      <c r="G129">
        <v>14</v>
      </c>
      <c r="H129">
        <v>13</v>
      </c>
      <c r="I129">
        <v>49</v>
      </c>
    </row>
    <row r="130" spans="1:9">
      <c r="A130" t="s">
        <v>67</v>
      </c>
      <c r="B130" t="s">
        <v>39</v>
      </c>
      <c r="C130" t="s">
        <v>15</v>
      </c>
      <c r="D130">
        <v>3</v>
      </c>
      <c r="E130">
        <v>6</v>
      </c>
      <c r="F130">
        <v>80</v>
      </c>
      <c r="G130">
        <v>22.67</v>
      </c>
      <c r="H130">
        <v>12</v>
      </c>
      <c r="I130">
        <v>68</v>
      </c>
    </row>
    <row r="131" spans="1:9">
      <c r="A131" t="s">
        <v>67</v>
      </c>
      <c r="B131" t="s">
        <v>43</v>
      </c>
      <c r="C131" t="s">
        <v>23</v>
      </c>
      <c r="D131">
        <v>3</v>
      </c>
      <c r="E131">
        <v>4</v>
      </c>
      <c r="F131">
        <v>250</v>
      </c>
      <c r="G131">
        <v>82</v>
      </c>
      <c r="H131">
        <v>4</v>
      </c>
      <c r="I131">
        <v>246</v>
      </c>
    </row>
    <row r="132" spans="1:9">
      <c r="A132" t="s">
        <v>67</v>
      </c>
      <c r="B132" t="s">
        <v>44</v>
      </c>
      <c r="C132" t="s">
        <v>11</v>
      </c>
      <c r="D132">
        <v>1</v>
      </c>
      <c r="E132">
        <v>4</v>
      </c>
      <c r="F132">
        <v>28</v>
      </c>
      <c r="G132">
        <v>18</v>
      </c>
      <c r="H132">
        <v>10</v>
      </c>
      <c r="I132">
        <v>18</v>
      </c>
    </row>
    <row r="133" spans="1:9">
      <c r="A133" t="s">
        <v>67</v>
      </c>
      <c r="B133" t="s">
        <v>59</v>
      </c>
      <c r="C133" t="s">
        <v>26</v>
      </c>
      <c r="D133">
        <v>17.5</v>
      </c>
      <c r="E133">
        <v>7</v>
      </c>
      <c r="F133">
        <v>1130</v>
      </c>
      <c r="G133">
        <v>61.14</v>
      </c>
      <c r="H133">
        <v>60</v>
      </c>
      <c r="I133">
        <v>1070</v>
      </c>
    </row>
    <row r="134" spans="1:9">
      <c r="A134" t="s">
        <v>67</v>
      </c>
      <c r="B134" t="s">
        <v>48</v>
      </c>
      <c r="C134" t="s">
        <v>26</v>
      </c>
      <c r="D134">
        <v>1.25</v>
      </c>
      <c r="E134">
        <v>5</v>
      </c>
      <c r="F134">
        <v>71</v>
      </c>
      <c r="G134">
        <v>56.8</v>
      </c>
      <c r="H134">
        <v>0</v>
      </c>
      <c r="I134">
        <v>71</v>
      </c>
    </row>
    <row r="135" spans="1:9">
      <c r="A135" t="s">
        <v>67</v>
      </c>
      <c r="B135" t="s">
        <v>49</v>
      </c>
      <c r="C135" t="s">
        <v>26</v>
      </c>
      <c r="D135">
        <v>0.25</v>
      </c>
      <c r="E135">
        <v>1</v>
      </c>
      <c r="F135">
        <v>14</v>
      </c>
      <c r="G135">
        <v>56</v>
      </c>
      <c r="H135">
        <v>0</v>
      </c>
      <c r="I135">
        <v>14</v>
      </c>
    </row>
    <row r="136" spans="1:9">
      <c r="A136" t="s">
        <v>67</v>
      </c>
      <c r="B136" t="s">
        <v>50</v>
      </c>
      <c r="C136" t="s">
        <v>26</v>
      </c>
      <c r="D136">
        <v>0.25</v>
      </c>
      <c r="E136">
        <v>1</v>
      </c>
      <c r="F136">
        <v>14</v>
      </c>
      <c r="G136">
        <v>56</v>
      </c>
      <c r="H136">
        <v>0</v>
      </c>
      <c r="I136">
        <v>14</v>
      </c>
    </row>
    <row r="137" spans="1:9">
      <c r="A137" t="s">
        <v>67</v>
      </c>
      <c r="B137" t="s">
        <v>53</v>
      </c>
      <c r="C137" t="s">
        <v>26</v>
      </c>
      <c r="D137">
        <v>0.25</v>
      </c>
      <c r="E137">
        <v>1</v>
      </c>
      <c r="F137">
        <v>14</v>
      </c>
      <c r="G137">
        <v>56</v>
      </c>
      <c r="H137">
        <v>0</v>
      </c>
      <c r="I137">
        <v>14</v>
      </c>
    </row>
    <row r="138" spans="1:9">
      <c r="A138" t="s">
        <v>67</v>
      </c>
      <c r="B138" t="s">
        <v>54</v>
      </c>
      <c r="C138" t="s">
        <v>23</v>
      </c>
      <c r="D138">
        <v>52</v>
      </c>
      <c r="E138">
        <v>26</v>
      </c>
      <c r="F138">
        <v>2525</v>
      </c>
      <c r="G138">
        <v>47.21</v>
      </c>
      <c r="H138">
        <v>70</v>
      </c>
      <c r="I138">
        <v>2455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27"/>
  <sheetViews>
    <sheetView workbookViewId="0">
      <selection activeCell="I14" sqref="I14"/>
    </sheetView>
  </sheetViews>
  <sheetFormatPr defaultColWidth="9" defaultRowHeight="14"/>
  <cols>
    <col min="1" max="1" width="16.75"/>
    <col min="2" max="2" width="15.3125"/>
    <col min="3" max="4" width="18.875"/>
    <col min="6" max="6" width="19.5390625" customWidth="1"/>
    <col min="7" max="7" width="15.3125"/>
    <col min="8" max="8" width="18.625"/>
    <col min="9" max="9" width="19.75" customWidth="1"/>
  </cols>
  <sheetData>
    <row r="3" spans="1:8">
      <c r="A3" s="12" t="s">
        <v>2</v>
      </c>
      <c r="B3" s="12" t="s">
        <v>1</v>
      </c>
      <c r="C3" s="12" t="s">
        <v>69</v>
      </c>
      <c r="D3" s="12" t="s">
        <v>70</v>
      </c>
      <c r="F3" s="12" t="s">
        <v>2</v>
      </c>
      <c r="G3" s="12" t="s">
        <v>1</v>
      </c>
      <c r="H3" s="12" t="s">
        <v>69</v>
      </c>
    </row>
    <row r="4" spans="1:8">
      <c r="A4" t="s">
        <v>11</v>
      </c>
      <c r="C4" s="2">
        <v>46858</v>
      </c>
      <c r="D4" s="13">
        <v>0.489879981599967</v>
      </c>
      <c r="F4" t="s">
        <v>11</v>
      </c>
      <c r="H4" s="2">
        <v>46858</v>
      </c>
    </row>
    <row r="5" spans="1:8">
      <c r="A5" t="s">
        <v>20</v>
      </c>
      <c r="C5" s="2">
        <v>14092</v>
      </c>
      <c r="D5" s="13">
        <v>0.147325722410404</v>
      </c>
      <c r="F5" t="s">
        <v>20</v>
      </c>
      <c r="H5" s="2">
        <v>14092</v>
      </c>
    </row>
    <row r="6" spans="1:8">
      <c r="A6" t="s">
        <v>15</v>
      </c>
      <c r="C6" s="2">
        <v>10532</v>
      </c>
      <c r="D6" s="13">
        <v>0.110107472922678</v>
      </c>
      <c r="F6" t="s">
        <v>15</v>
      </c>
      <c r="H6" s="2">
        <v>10532</v>
      </c>
    </row>
    <row r="7" spans="1:8">
      <c r="A7" t="s">
        <v>23</v>
      </c>
      <c r="C7" s="2">
        <v>10035</v>
      </c>
      <c r="D7" s="13">
        <v>0.104911554384644</v>
      </c>
      <c r="F7" t="s">
        <v>23</v>
      </c>
      <c r="H7" s="2">
        <v>10035</v>
      </c>
    </row>
    <row r="8" spans="1:8">
      <c r="A8" t="s">
        <v>26</v>
      </c>
      <c r="C8" s="2">
        <v>8778</v>
      </c>
      <c r="D8" s="13">
        <v>0.0917701668548488</v>
      </c>
      <c r="F8" t="s">
        <v>26</v>
      </c>
      <c r="H8" s="2">
        <v>8778</v>
      </c>
    </row>
    <row r="9" spans="1:8">
      <c r="A9" t="s">
        <v>24</v>
      </c>
      <c r="C9" s="2">
        <v>5301</v>
      </c>
      <c r="D9" s="13">
        <v>0.0554196462175386</v>
      </c>
      <c r="F9" t="s">
        <v>24</v>
      </c>
      <c r="H9" s="2">
        <v>5301</v>
      </c>
    </row>
    <row r="10" spans="1:8">
      <c r="A10" t="s">
        <v>64</v>
      </c>
      <c r="C10" s="2">
        <v>35</v>
      </c>
      <c r="D10" s="13">
        <v>0.000365909756199557</v>
      </c>
      <c r="F10" t="s">
        <v>64</v>
      </c>
      <c r="H10" s="2">
        <v>35</v>
      </c>
    </row>
    <row r="11" spans="1:8">
      <c r="A11" t="s">
        <v>32</v>
      </c>
      <c r="C11" s="2">
        <v>21</v>
      </c>
      <c r="D11" s="13">
        <v>0.000219545853719734</v>
      </c>
      <c r="F11" t="s">
        <v>32</v>
      </c>
      <c r="H11" s="2">
        <v>21</v>
      </c>
    </row>
    <row r="12" spans="1:8">
      <c r="A12" s="14" t="s">
        <v>71</v>
      </c>
      <c r="B12" s="14"/>
      <c r="C12" s="15">
        <v>95652</v>
      </c>
      <c r="D12" s="16">
        <v>1</v>
      </c>
      <c r="F12" s="14" t="s">
        <v>71</v>
      </c>
      <c r="G12" s="14"/>
      <c r="H12" s="15">
        <v>95652</v>
      </c>
    </row>
    <row r="27" spans="9:9">
      <c r="I27" t="s">
        <v>72</v>
      </c>
    </row>
  </sheetData>
  <pageMargins left="0.75" right="0.75" top="1" bottom="1" header="0.5" footer="0.5"/>
  <headerFooter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J15"/>
  <sheetViews>
    <sheetView workbookViewId="0">
      <selection activeCell="B35" sqref="B35"/>
    </sheetView>
  </sheetViews>
  <sheetFormatPr defaultColWidth="9" defaultRowHeight="14"/>
  <cols>
    <col min="1" max="1" width="19.7890625" customWidth="1"/>
    <col min="2" max="5" width="18.875"/>
    <col min="6" max="6" width="10.875"/>
    <col min="7" max="9" width="16.75"/>
    <col min="10" max="10" width="10.875"/>
  </cols>
  <sheetData>
    <row r="4" ht="15.2" spans="1:10">
      <c r="A4" s="4" t="s">
        <v>73</v>
      </c>
      <c r="B4" s="4"/>
      <c r="C4" s="4"/>
      <c r="D4" s="4"/>
      <c r="E4" s="4"/>
      <c r="F4" s="4"/>
      <c r="G4" s="10"/>
      <c r="H4" s="10"/>
      <c r="I4" s="10"/>
      <c r="J4" s="10"/>
    </row>
    <row r="5" hidden="1" spans="1:6">
      <c r="A5" s="3" t="s">
        <v>74</v>
      </c>
      <c r="B5" s="3" t="s">
        <v>0</v>
      </c>
      <c r="C5" s="3"/>
      <c r="D5" s="3"/>
      <c r="E5" s="3"/>
      <c r="F5" s="3"/>
    </row>
    <row r="6" s="3" customFormat="1" spans="1:10">
      <c r="A6" s="5" t="s">
        <v>2</v>
      </c>
      <c r="B6" s="6" t="s">
        <v>55</v>
      </c>
      <c r="C6" s="6" t="s">
        <v>9</v>
      </c>
      <c r="D6" s="6" t="s">
        <v>67</v>
      </c>
      <c r="E6" s="6" t="s">
        <v>61</v>
      </c>
      <c r="F6" s="6" t="s">
        <v>71</v>
      </c>
      <c r="G6"/>
      <c r="H6"/>
      <c r="I6"/>
      <c r="J6"/>
    </row>
    <row r="7" spans="1:6">
      <c r="A7" s="3" t="s">
        <v>11</v>
      </c>
      <c r="B7" s="7">
        <v>20452.5</v>
      </c>
      <c r="C7" s="7">
        <v>17590.5</v>
      </c>
      <c r="D7" s="7">
        <v>8237</v>
      </c>
      <c r="E7" s="7">
        <v>578</v>
      </c>
      <c r="F7" s="7">
        <v>46858</v>
      </c>
    </row>
    <row r="8" spans="1:6">
      <c r="A8" s="3" t="s">
        <v>20</v>
      </c>
      <c r="B8" s="7">
        <v>5578</v>
      </c>
      <c r="C8" s="7">
        <v>2740</v>
      </c>
      <c r="D8" s="7">
        <v>877</v>
      </c>
      <c r="E8" s="7">
        <v>4897</v>
      </c>
      <c r="F8" s="7">
        <v>14092</v>
      </c>
    </row>
    <row r="9" spans="1:6">
      <c r="A9" s="3" t="s">
        <v>15</v>
      </c>
      <c r="B9" s="7">
        <v>3765</v>
      </c>
      <c r="C9" s="7">
        <v>2434</v>
      </c>
      <c r="D9" s="7">
        <v>1293</v>
      </c>
      <c r="E9" s="7">
        <v>3040</v>
      </c>
      <c r="F9" s="7">
        <v>10532</v>
      </c>
    </row>
    <row r="10" spans="1:6">
      <c r="A10" s="3" t="s">
        <v>23</v>
      </c>
      <c r="B10" s="7">
        <v>4934</v>
      </c>
      <c r="C10" s="7">
        <v>1355</v>
      </c>
      <c r="D10" s="7">
        <v>3306</v>
      </c>
      <c r="E10" s="7">
        <v>440</v>
      </c>
      <c r="F10" s="7">
        <v>10035</v>
      </c>
    </row>
    <row r="11" spans="1:6">
      <c r="A11" s="3" t="s">
        <v>26</v>
      </c>
      <c r="B11" s="7">
        <v>3596</v>
      </c>
      <c r="C11" s="7">
        <v>1418</v>
      </c>
      <c r="D11" s="7">
        <v>2424</v>
      </c>
      <c r="E11" s="7">
        <v>1340</v>
      </c>
      <c r="F11" s="7">
        <v>8778</v>
      </c>
    </row>
    <row r="12" spans="1:6">
      <c r="A12" s="3" t="s">
        <v>24</v>
      </c>
      <c r="B12" s="7">
        <v>1986</v>
      </c>
      <c r="C12" s="7">
        <v>1450</v>
      </c>
      <c r="D12" s="7">
        <v>260</v>
      </c>
      <c r="E12" s="7">
        <v>1605</v>
      </c>
      <c r="F12" s="7">
        <v>5301</v>
      </c>
    </row>
    <row r="13" spans="1:6">
      <c r="A13" s="3" t="s">
        <v>64</v>
      </c>
      <c r="B13" s="7"/>
      <c r="C13" s="7"/>
      <c r="D13" s="7"/>
      <c r="E13" s="7">
        <v>35</v>
      </c>
      <c r="F13" s="7">
        <v>35</v>
      </c>
    </row>
    <row r="14" ht="14.75" spans="1:6">
      <c r="A14" s="3" t="s">
        <v>32</v>
      </c>
      <c r="B14" s="7"/>
      <c r="C14" s="7">
        <v>0</v>
      </c>
      <c r="D14" s="7"/>
      <c r="E14" s="7">
        <v>21</v>
      </c>
      <c r="F14" s="7">
        <v>21</v>
      </c>
    </row>
    <row r="15" ht="14.75" spans="1:6">
      <c r="A15" s="8" t="s">
        <v>71</v>
      </c>
      <c r="B15" s="9">
        <v>40311.5</v>
      </c>
      <c r="C15" s="9">
        <v>26987.5</v>
      </c>
      <c r="D15" s="9">
        <v>16397</v>
      </c>
      <c r="E15" s="9">
        <v>11956</v>
      </c>
      <c r="F15" s="11">
        <v>95652</v>
      </c>
    </row>
  </sheetData>
  <mergeCells count="1">
    <mergeCell ref="A4:F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9"/>
  <sheetViews>
    <sheetView workbookViewId="0">
      <selection activeCell="I24" sqref="I24"/>
    </sheetView>
  </sheetViews>
  <sheetFormatPr defaultColWidth="9" defaultRowHeight="14" outlineLevelCol="2"/>
  <cols>
    <col min="1" max="2" width="15.3125"/>
    <col min="3" max="3" width="18.625"/>
  </cols>
  <sheetData>
    <row r="3" spans="1:3">
      <c r="A3" t="s">
        <v>2</v>
      </c>
      <c r="B3" t="s">
        <v>1</v>
      </c>
      <c r="C3" t="s">
        <v>69</v>
      </c>
    </row>
    <row r="4" spans="1:3">
      <c r="A4" t="s">
        <v>11</v>
      </c>
      <c r="C4" s="2">
        <v>46858</v>
      </c>
    </row>
    <row r="5" spans="1:3">
      <c r="A5" t="s">
        <v>20</v>
      </c>
      <c r="C5" s="2">
        <v>14027</v>
      </c>
    </row>
    <row r="6" spans="1:3">
      <c r="A6" t="s">
        <v>15</v>
      </c>
      <c r="C6" s="2">
        <v>10522</v>
      </c>
    </row>
    <row r="7" spans="1:3">
      <c r="A7" t="s">
        <v>23</v>
      </c>
      <c r="C7" s="2">
        <v>10035</v>
      </c>
    </row>
    <row r="8" spans="1:3">
      <c r="A8" t="s">
        <v>26</v>
      </c>
      <c r="C8" s="2">
        <v>7087</v>
      </c>
    </row>
    <row r="9" spans="1:3">
      <c r="A9" t="s">
        <v>71</v>
      </c>
      <c r="C9" s="2">
        <v>88529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F10" sqref="F10"/>
    </sheetView>
  </sheetViews>
  <sheetFormatPr defaultColWidth="9" defaultRowHeight="14" outlineLevelRow="4" outlineLevelCol="1"/>
  <cols>
    <col min="1" max="1" width="13.4375" customWidth="1"/>
    <col min="2" max="2" width="27.8125" customWidth="1"/>
  </cols>
  <sheetData>
    <row r="1" spans="1:2">
      <c r="A1" t="s">
        <v>75</v>
      </c>
      <c r="B1" t="s">
        <v>76</v>
      </c>
    </row>
    <row r="2" spans="1:2">
      <c r="A2" t="s">
        <v>77</v>
      </c>
      <c r="B2">
        <v>1400</v>
      </c>
    </row>
    <row r="3" spans="1:2">
      <c r="A3" t="s">
        <v>78</v>
      </c>
      <c r="B3">
        <v>679</v>
      </c>
    </row>
    <row r="4" spans="1:2">
      <c r="A4" t="s">
        <v>79</v>
      </c>
      <c r="B4">
        <v>563</v>
      </c>
    </row>
    <row r="5" spans="1:2">
      <c r="A5" t="s">
        <v>80</v>
      </c>
      <c r="B5">
        <v>282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tabSelected="1" workbookViewId="0">
      <selection activeCell="A26" sqref="A26"/>
    </sheetView>
  </sheetViews>
  <sheetFormatPr defaultColWidth="9" defaultRowHeight="14"/>
  <cols>
    <col min="1" max="1" width="116.125" customWidth="1"/>
    <col min="3" max="3" width="7.9375" customWidth="1"/>
  </cols>
  <sheetData>
    <row r="1" spans="1:1">
      <c r="A1" t="s">
        <v>81</v>
      </c>
    </row>
    <row r="3" spans="1:1">
      <c r="A3" t="s">
        <v>82</v>
      </c>
    </row>
    <row r="5" spans="1:1">
      <c r="A5" t="s">
        <v>83</v>
      </c>
    </row>
    <row r="7" spans="1:1">
      <c r="A7" t="s">
        <v>84</v>
      </c>
    </row>
    <row r="9" spans="1:1">
      <c r="A9" t="s">
        <v>85</v>
      </c>
    </row>
    <row r="12" spans="1:1">
      <c r="A12" t="s">
        <v>86</v>
      </c>
    </row>
    <row r="15" spans="1:1">
      <c r="A15" t="s">
        <v>87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workbookViewId="0">
      <selection activeCell="C17" sqref="C17"/>
    </sheetView>
  </sheetViews>
  <sheetFormatPr defaultColWidth="9" defaultRowHeight="14" outlineLevelCol="3"/>
  <cols>
    <col min="1" max="1" width="41" customWidth="1"/>
    <col min="2" max="2" width="33.5625" customWidth="1"/>
    <col min="3" max="4" width="18.875" customWidth="1"/>
  </cols>
  <sheetData>
    <row r="1" spans="1:4">
      <c r="A1" s="1" t="s">
        <v>88</v>
      </c>
      <c r="B1" s="1" t="s">
        <v>89</v>
      </c>
      <c r="C1" s="1" t="s">
        <v>90</v>
      </c>
      <c r="D1" s="1" t="s">
        <v>91</v>
      </c>
    </row>
    <row r="2" spans="1:4">
      <c r="A2" t="s">
        <v>92</v>
      </c>
      <c r="B2" t="s">
        <v>30</v>
      </c>
      <c r="C2" t="s">
        <v>93</v>
      </c>
      <c r="D2" t="s">
        <v>11</v>
      </c>
    </row>
    <row r="3" spans="1:4">
      <c r="A3" t="s">
        <v>94</v>
      </c>
      <c r="B3" t="s">
        <v>35</v>
      </c>
      <c r="C3" t="s">
        <v>95</v>
      </c>
      <c r="D3" t="s">
        <v>15</v>
      </c>
    </row>
    <row r="4" spans="1:4">
      <c r="A4" t="s">
        <v>96</v>
      </c>
      <c r="B4" t="s">
        <v>22</v>
      </c>
      <c r="C4" t="s">
        <v>97</v>
      </c>
      <c r="D4" t="s">
        <v>20</v>
      </c>
    </row>
    <row r="5" spans="1:4">
      <c r="A5" t="s">
        <v>98</v>
      </c>
      <c r="B5" t="s">
        <v>65</v>
      </c>
      <c r="C5" t="s">
        <v>99</v>
      </c>
      <c r="D5" t="s">
        <v>23</v>
      </c>
    </row>
    <row r="6" spans="1:4">
      <c r="A6" t="s">
        <v>100</v>
      </c>
      <c r="B6" t="s">
        <v>34</v>
      </c>
      <c r="C6" t="s">
        <v>101</v>
      </c>
      <c r="D6" t="s">
        <v>24</v>
      </c>
    </row>
    <row r="7" spans="1:4">
      <c r="A7" t="s">
        <v>102</v>
      </c>
      <c r="B7" t="s">
        <v>68</v>
      </c>
      <c r="C7" t="s">
        <v>103</v>
      </c>
      <c r="D7" t="s">
        <v>26</v>
      </c>
    </row>
    <row r="8" spans="1:4">
      <c r="A8" t="s">
        <v>104</v>
      </c>
      <c r="B8" t="s">
        <v>41</v>
      </c>
      <c r="C8" t="s">
        <v>105</v>
      </c>
      <c r="D8" t="s">
        <v>32</v>
      </c>
    </row>
    <row r="9" spans="1:4">
      <c r="A9" t="s">
        <v>106</v>
      </c>
      <c r="B9" t="s">
        <v>50</v>
      </c>
      <c r="C9" t="s">
        <v>107</v>
      </c>
      <c r="D9" t="s">
        <v>64</v>
      </c>
    </row>
    <row r="10" spans="1:3">
      <c r="A10" t="s">
        <v>108</v>
      </c>
      <c r="B10" t="s">
        <v>51</v>
      </c>
      <c r="C10" t="s">
        <v>18</v>
      </c>
    </row>
    <row r="11" spans="1:3">
      <c r="A11" t="s">
        <v>109</v>
      </c>
      <c r="B11" t="s">
        <v>66</v>
      </c>
      <c r="C11" t="s">
        <v>18</v>
      </c>
    </row>
    <row r="12" spans="1:3">
      <c r="A12" t="s">
        <v>110</v>
      </c>
      <c r="B12" t="s">
        <v>53</v>
      </c>
      <c r="C12" t="s">
        <v>18</v>
      </c>
    </row>
    <row r="13" spans="1:3">
      <c r="A13" t="s">
        <v>111</v>
      </c>
      <c r="B13" t="s">
        <v>48</v>
      </c>
      <c r="C13" t="s">
        <v>18</v>
      </c>
    </row>
    <row r="14" spans="1:3">
      <c r="A14" t="s">
        <v>112</v>
      </c>
      <c r="B14" t="s">
        <v>49</v>
      </c>
      <c r="C14" t="s">
        <v>18</v>
      </c>
    </row>
    <row r="15" spans="1:3">
      <c r="A15" t="s">
        <v>113</v>
      </c>
      <c r="B15" t="s">
        <v>52</v>
      </c>
      <c r="C15" t="s">
        <v>18</v>
      </c>
    </row>
    <row r="16" spans="1:3">
      <c r="A16" t="s">
        <v>114</v>
      </c>
      <c r="B16" t="s">
        <v>42</v>
      </c>
      <c r="C16" t="s">
        <v>18</v>
      </c>
    </row>
    <row r="17" spans="1:4">
      <c r="A17" t="s">
        <v>115</v>
      </c>
      <c r="B17" t="s">
        <v>40</v>
      </c>
      <c r="C17" t="s">
        <v>18</v>
      </c>
      <c r="D17" t="s">
        <v>18</v>
      </c>
    </row>
    <row r="18" spans="1:4">
      <c r="A18" t="s">
        <v>116</v>
      </c>
      <c r="B18" t="s">
        <v>29</v>
      </c>
      <c r="C18" t="s">
        <v>18</v>
      </c>
      <c r="D18" t="s">
        <v>18</v>
      </c>
    </row>
    <row r="19" spans="1:4">
      <c r="A19" t="s">
        <v>117</v>
      </c>
      <c r="B19" t="s">
        <v>62</v>
      </c>
      <c r="C19" t="s">
        <v>18</v>
      </c>
      <c r="D19" t="s">
        <v>18</v>
      </c>
    </row>
    <row r="20" spans="1:4">
      <c r="A20" t="s">
        <v>118</v>
      </c>
      <c r="B20" t="s">
        <v>57</v>
      </c>
      <c r="C20" t="s">
        <v>18</v>
      </c>
      <c r="D20" t="s">
        <v>18</v>
      </c>
    </row>
    <row r="21" spans="1:4">
      <c r="A21" t="s">
        <v>119</v>
      </c>
      <c r="B21" t="s">
        <v>59</v>
      </c>
      <c r="C21" t="s">
        <v>18</v>
      </c>
      <c r="D21" t="s">
        <v>18</v>
      </c>
    </row>
    <row r="22" spans="1:4">
      <c r="A22" t="s">
        <v>120</v>
      </c>
      <c r="B22" t="s">
        <v>60</v>
      </c>
      <c r="C22" t="s">
        <v>18</v>
      </c>
      <c r="D22" t="s">
        <v>18</v>
      </c>
    </row>
    <row r="23" spans="1:4">
      <c r="A23" t="s">
        <v>121</v>
      </c>
      <c r="B23" t="s">
        <v>54</v>
      </c>
      <c r="C23" t="s">
        <v>18</v>
      </c>
      <c r="D23" t="s">
        <v>18</v>
      </c>
    </row>
    <row r="24" spans="1:4">
      <c r="A24" t="s">
        <v>122</v>
      </c>
      <c r="B24" t="s">
        <v>36</v>
      </c>
      <c r="C24" t="s">
        <v>18</v>
      </c>
      <c r="D24" t="s">
        <v>18</v>
      </c>
    </row>
    <row r="25" spans="1:4">
      <c r="A25" t="s">
        <v>123</v>
      </c>
      <c r="B25" t="s">
        <v>17</v>
      </c>
      <c r="C25" t="s">
        <v>18</v>
      </c>
      <c r="D25" t="s">
        <v>18</v>
      </c>
    </row>
    <row r="26" spans="1:4">
      <c r="A26" t="s">
        <v>124</v>
      </c>
      <c r="B26" t="s">
        <v>43</v>
      </c>
      <c r="C26" t="s">
        <v>18</v>
      </c>
      <c r="D26" t="s">
        <v>18</v>
      </c>
    </row>
    <row r="27" spans="1:4">
      <c r="A27" t="s">
        <v>125</v>
      </c>
      <c r="B27" t="s">
        <v>63</v>
      </c>
      <c r="C27" t="s">
        <v>18</v>
      </c>
      <c r="D27" t="s">
        <v>18</v>
      </c>
    </row>
    <row r="28" spans="1:4">
      <c r="A28" t="s">
        <v>126</v>
      </c>
      <c r="B28" t="s">
        <v>21</v>
      </c>
      <c r="C28" t="s">
        <v>18</v>
      </c>
      <c r="D28" t="s">
        <v>18</v>
      </c>
    </row>
    <row r="29" spans="1:4">
      <c r="A29" t="s">
        <v>127</v>
      </c>
      <c r="B29" t="s">
        <v>33</v>
      </c>
      <c r="C29" t="s">
        <v>18</v>
      </c>
      <c r="D29" t="s">
        <v>18</v>
      </c>
    </row>
    <row r="30" spans="1:4">
      <c r="A30" t="s">
        <v>128</v>
      </c>
      <c r="B30" t="s">
        <v>45</v>
      </c>
      <c r="C30" t="s">
        <v>18</v>
      </c>
      <c r="D30" t="s">
        <v>18</v>
      </c>
    </row>
    <row r="31" spans="1:4">
      <c r="A31" t="s">
        <v>129</v>
      </c>
      <c r="B31" t="s">
        <v>19</v>
      </c>
      <c r="C31" t="s">
        <v>18</v>
      </c>
      <c r="D31" t="s">
        <v>18</v>
      </c>
    </row>
    <row r="32" spans="1:4">
      <c r="A32" t="s">
        <v>130</v>
      </c>
      <c r="B32" t="s">
        <v>27</v>
      </c>
      <c r="C32" t="s">
        <v>18</v>
      </c>
      <c r="D32" t="s">
        <v>18</v>
      </c>
    </row>
    <row r="33" spans="1:4">
      <c r="A33" t="s">
        <v>131</v>
      </c>
      <c r="B33" t="s">
        <v>46</v>
      </c>
      <c r="C33" t="s">
        <v>18</v>
      </c>
      <c r="D33" t="s">
        <v>18</v>
      </c>
    </row>
    <row r="34" spans="1:4">
      <c r="A34" t="s">
        <v>132</v>
      </c>
      <c r="B34" t="s">
        <v>47</v>
      </c>
      <c r="C34" t="s">
        <v>18</v>
      </c>
      <c r="D34" t="s">
        <v>18</v>
      </c>
    </row>
    <row r="35" spans="1:4">
      <c r="A35" t="s">
        <v>133</v>
      </c>
      <c r="B35" t="s">
        <v>25</v>
      </c>
      <c r="C35" t="s">
        <v>18</v>
      </c>
      <c r="D35" t="s">
        <v>18</v>
      </c>
    </row>
    <row r="36" spans="1:4">
      <c r="A36" t="s">
        <v>134</v>
      </c>
      <c r="B36" t="s">
        <v>39</v>
      </c>
      <c r="C36" t="s">
        <v>18</v>
      </c>
      <c r="D36" t="s">
        <v>18</v>
      </c>
    </row>
    <row r="37" spans="1:4">
      <c r="A37" t="s">
        <v>135</v>
      </c>
      <c r="B37" t="s">
        <v>12</v>
      </c>
      <c r="C37" t="s">
        <v>18</v>
      </c>
      <c r="D37" t="s">
        <v>18</v>
      </c>
    </row>
    <row r="38" spans="1:4">
      <c r="A38" t="s">
        <v>136</v>
      </c>
      <c r="B38" t="s">
        <v>10</v>
      </c>
      <c r="C38" t="s">
        <v>18</v>
      </c>
      <c r="D38" t="s">
        <v>18</v>
      </c>
    </row>
    <row r="39" spans="1:4">
      <c r="A39" t="s">
        <v>137</v>
      </c>
      <c r="B39" t="s">
        <v>13</v>
      </c>
      <c r="C39" t="s">
        <v>18</v>
      </c>
      <c r="D39" t="s">
        <v>18</v>
      </c>
    </row>
    <row r="40" spans="1:4">
      <c r="A40" t="s">
        <v>138</v>
      </c>
      <c r="B40" t="s">
        <v>44</v>
      </c>
      <c r="C40" t="s">
        <v>18</v>
      </c>
      <c r="D40" t="s">
        <v>18</v>
      </c>
    </row>
    <row r="41" spans="1:4">
      <c r="A41" t="s">
        <v>139</v>
      </c>
      <c r="B41" t="s">
        <v>31</v>
      </c>
      <c r="C41" t="s">
        <v>18</v>
      </c>
      <c r="D41" t="s">
        <v>18</v>
      </c>
    </row>
    <row r="42" spans="1:4">
      <c r="A42" t="s">
        <v>140</v>
      </c>
      <c r="B42" t="s">
        <v>38</v>
      </c>
      <c r="C42" t="s">
        <v>18</v>
      </c>
      <c r="D42" t="s">
        <v>18</v>
      </c>
    </row>
    <row r="43" spans="1:4">
      <c r="A43" t="s">
        <v>141</v>
      </c>
      <c r="B43" t="s">
        <v>37</v>
      </c>
      <c r="C43" t="s">
        <v>18</v>
      </c>
      <c r="D43" t="s">
        <v>18</v>
      </c>
    </row>
    <row r="44" spans="1:4">
      <c r="A44" t="s">
        <v>101</v>
      </c>
      <c r="B44" t="s">
        <v>24</v>
      </c>
      <c r="C44" t="s">
        <v>18</v>
      </c>
      <c r="D44" t="s">
        <v>18</v>
      </c>
    </row>
    <row r="45" spans="1:4">
      <c r="A45" t="s">
        <v>142</v>
      </c>
      <c r="B45" t="s">
        <v>28</v>
      </c>
      <c r="C45" t="s">
        <v>18</v>
      </c>
      <c r="D45" t="s">
        <v>18</v>
      </c>
    </row>
    <row r="46" spans="1:4">
      <c r="A46" t="s">
        <v>143</v>
      </c>
      <c r="B46" t="s">
        <v>15</v>
      </c>
      <c r="C46" t="s">
        <v>18</v>
      </c>
      <c r="D46" t="s">
        <v>18</v>
      </c>
    </row>
    <row r="47" spans="1:4">
      <c r="A47" t="s">
        <v>144</v>
      </c>
      <c r="B47" t="s">
        <v>14</v>
      </c>
      <c r="C47" t="s">
        <v>18</v>
      </c>
      <c r="D47" t="s">
        <v>18</v>
      </c>
    </row>
    <row r="48" spans="1:4">
      <c r="A48" t="s">
        <v>145</v>
      </c>
      <c r="B48" t="s">
        <v>56</v>
      </c>
      <c r="C48" t="s">
        <v>18</v>
      </c>
      <c r="D48" t="s">
        <v>18</v>
      </c>
    </row>
    <row r="49" spans="1:4">
      <c r="A49" t="s">
        <v>146</v>
      </c>
      <c r="B49" t="s">
        <v>16</v>
      </c>
      <c r="C49" t="s">
        <v>18</v>
      </c>
      <c r="D49" t="s">
        <v>18</v>
      </c>
    </row>
    <row r="50" spans="1:4">
      <c r="A50" t="s">
        <v>147</v>
      </c>
      <c r="B50" t="s">
        <v>58</v>
      </c>
      <c r="C50" t="s">
        <v>18</v>
      </c>
      <c r="D50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Clean Data</vt:lpstr>
      <vt:lpstr>Revenue by Category</vt:lpstr>
      <vt:lpstr>Revenue by Employee</vt:lpstr>
      <vt:lpstr>Top 5 Categories</vt:lpstr>
      <vt:lpstr>Inactive Segments</vt:lpstr>
      <vt:lpstr>Insights</vt:lpstr>
      <vt:lpstr>Translation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django</cp:lastModifiedBy>
  <dcterms:created xsi:type="dcterms:W3CDTF">2026-04-01T14:15:00Z</dcterms:created>
  <dcterms:modified xsi:type="dcterms:W3CDTF">2026-04-03T18:54:31Z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1033-5.7.0.8090</vt:lpwstr>
  </property>
</Properties>
</file>